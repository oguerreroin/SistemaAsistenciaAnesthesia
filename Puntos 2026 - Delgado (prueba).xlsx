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5F4B6C64-AD94-4376-8FBD-20E9D32CA8B0}" xr6:coauthVersionLast="47" xr6:coauthVersionMax="47" xr10:uidLastSave="{00000000-0000-0000-0000-000000000000}"/>
  <bookViews>
    <workbookView xWindow="-108" yWindow="-108" windowWidth="23256" windowHeight="13896" tabRatio="912" firstSheet="1" activeTab="2" xr2:uid="{00000000-000D-0000-FFFF-FFFF00000000}"/>
  </bookViews>
  <sheets>
    <sheet name="Hoja1" sheetId="18" state="hidden" r:id="rId1"/>
    <sheet name="Medicos" sheetId="2" r:id="rId2"/>
    <sheet name="Enero" sheetId="16" r:id="rId3"/>
  </sheets>
  <definedNames>
    <definedName name="FECHA" localSheetId="2">Tabla3378910111213141819[Fecha]</definedName>
    <definedName name="FECHA">#REF!</definedName>
    <definedName name="Junio" localSheetId="2">#REF!</definedName>
    <definedName name="Junio">#REF!</definedName>
    <definedName name="PUNTO" localSheetId="2">Tabla3378910111213141819[Puntos]</definedName>
    <definedName name="PUNTO">#REF!</definedName>
    <definedName name="STAFF" localSheetId="2">Tabla3378910111213141819[Anestesiólogo]</definedName>
    <definedName name="STAF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43" i="16" l="1"/>
  <c r="D11" i="18" l="1"/>
  <c r="D3" i="18" l="1"/>
  <c r="C3" i="18"/>
  <c r="G3" i="18"/>
  <c r="E6" i="18"/>
  <c r="AS33" i="16" l="1"/>
  <c r="E4" i="16" l="1"/>
  <c r="F4" i="16" s="1"/>
  <c r="E5" i="16"/>
  <c r="F5" i="16" s="1"/>
  <c r="E6" i="16"/>
  <c r="F6" i="16" s="1"/>
  <c r="E7" i="16"/>
  <c r="F7" i="16" s="1"/>
  <c r="E8" i="16"/>
  <c r="F8" i="16" s="1"/>
  <c r="E9" i="16"/>
  <c r="F9" i="16" s="1"/>
  <c r="E10" i="16"/>
  <c r="F10" i="16" s="1"/>
  <c r="E11" i="16"/>
  <c r="F11" i="16" s="1"/>
  <c r="E12" i="16"/>
  <c r="F12" i="16" s="1"/>
  <c r="E13" i="16"/>
  <c r="F13" i="16" s="1"/>
  <c r="E14" i="16"/>
  <c r="F14" i="16" s="1"/>
  <c r="E15" i="16"/>
  <c r="F15" i="16" s="1"/>
  <c r="E16" i="16"/>
  <c r="F16" i="16" s="1"/>
  <c r="E17" i="16"/>
  <c r="F17" i="16" s="1"/>
  <c r="E18" i="16"/>
  <c r="F18" i="16" s="1"/>
  <c r="E19" i="16"/>
  <c r="F19" i="16" s="1"/>
  <c r="E20" i="16"/>
  <c r="F20" i="16" s="1"/>
  <c r="E21" i="16"/>
  <c r="F21" i="16" s="1"/>
  <c r="E22" i="16"/>
  <c r="F22" i="16" s="1"/>
  <c r="E23" i="16"/>
  <c r="F23" i="16" s="1"/>
  <c r="E24" i="16"/>
  <c r="F24" i="16" s="1"/>
  <c r="E25" i="16"/>
  <c r="F25" i="16" s="1"/>
  <c r="E26" i="16"/>
  <c r="F26" i="16" s="1"/>
  <c r="E27" i="16"/>
  <c r="F27" i="16" s="1"/>
  <c r="E28" i="16"/>
  <c r="F28" i="16" s="1"/>
  <c r="E29" i="16"/>
  <c r="F29" i="16" s="1"/>
  <c r="E30" i="16"/>
  <c r="F30" i="16" s="1"/>
  <c r="E31" i="16"/>
  <c r="F31" i="16" s="1"/>
  <c r="E32" i="16"/>
  <c r="F32" i="16" s="1"/>
  <c r="E33" i="16"/>
  <c r="F33" i="16" s="1"/>
  <c r="E34" i="16"/>
  <c r="F34" i="16" s="1"/>
  <c r="E35" i="16"/>
  <c r="F35" i="16" s="1"/>
  <c r="E36" i="16"/>
  <c r="F36" i="16" s="1"/>
  <c r="E37" i="16"/>
  <c r="F37" i="16" s="1"/>
  <c r="E38" i="16"/>
  <c r="F38" i="16" s="1"/>
  <c r="E39" i="16"/>
  <c r="F39" i="16" s="1"/>
  <c r="E40" i="16"/>
  <c r="F40" i="16" s="1"/>
  <c r="E41" i="16"/>
  <c r="F41" i="16" s="1"/>
  <c r="E42" i="16"/>
  <c r="F42" i="16" s="1"/>
  <c r="E43" i="16"/>
  <c r="F43" i="16" s="1"/>
  <c r="E44" i="16"/>
  <c r="F44" i="16" s="1"/>
  <c r="E45" i="16"/>
  <c r="F45" i="16" s="1"/>
  <c r="E46" i="16"/>
  <c r="F46" i="16" s="1"/>
  <c r="E47" i="16"/>
  <c r="F47" i="16" s="1"/>
  <c r="E48" i="16"/>
  <c r="F48" i="16" s="1"/>
  <c r="E49" i="16"/>
  <c r="F49" i="16" s="1"/>
  <c r="E50" i="16"/>
  <c r="F50" i="16" s="1"/>
  <c r="E51" i="16"/>
  <c r="F51" i="16" s="1"/>
  <c r="E52" i="16"/>
  <c r="F52" i="16" s="1"/>
  <c r="E53" i="16"/>
  <c r="F53" i="16" s="1"/>
  <c r="E54" i="16"/>
  <c r="F54" i="16" s="1"/>
  <c r="E55" i="16"/>
  <c r="F55" i="16" s="1"/>
  <c r="E56" i="16"/>
  <c r="F56" i="16" s="1"/>
  <c r="E57" i="16"/>
  <c r="F57" i="16" s="1"/>
  <c r="E58" i="16"/>
  <c r="F58" i="16" s="1"/>
  <c r="E59" i="16"/>
  <c r="F59" i="16" s="1"/>
  <c r="E60" i="16"/>
  <c r="F60" i="16" s="1"/>
  <c r="E61" i="16"/>
  <c r="F61" i="16" s="1"/>
  <c r="E62" i="16"/>
  <c r="F62" i="16" s="1"/>
  <c r="E63" i="16"/>
  <c r="F63" i="16" s="1"/>
  <c r="E64" i="16"/>
  <c r="F64" i="16" s="1"/>
  <c r="E65" i="16"/>
  <c r="F65" i="16" s="1"/>
  <c r="E66" i="16"/>
  <c r="F66" i="16" s="1"/>
  <c r="E67" i="16"/>
  <c r="F67" i="16" s="1"/>
  <c r="E68" i="16"/>
  <c r="F68" i="16" s="1"/>
  <c r="E69" i="16"/>
  <c r="F69" i="16" s="1"/>
  <c r="E70" i="16"/>
  <c r="F70" i="16" s="1"/>
  <c r="E71" i="16"/>
  <c r="F71" i="16" s="1"/>
  <c r="E72" i="16"/>
  <c r="F72" i="16" s="1"/>
  <c r="E73" i="16"/>
  <c r="F73" i="16" s="1"/>
  <c r="E74" i="16"/>
  <c r="F74" i="16" s="1"/>
  <c r="E75" i="16"/>
  <c r="F75" i="16" s="1"/>
  <c r="E76" i="16"/>
  <c r="F76" i="16" s="1"/>
  <c r="E77" i="16"/>
  <c r="F77" i="16" s="1"/>
  <c r="E78" i="16"/>
  <c r="F78" i="16" s="1"/>
  <c r="E79" i="16"/>
  <c r="F79" i="16" s="1"/>
  <c r="E80" i="16"/>
  <c r="F80" i="16" s="1"/>
  <c r="E81" i="16"/>
  <c r="F81" i="16" s="1"/>
  <c r="E82" i="16"/>
  <c r="F82" i="16" s="1"/>
  <c r="E83" i="16"/>
  <c r="F83" i="16" s="1"/>
  <c r="E84" i="16"/>
  <c r="F84" i="16" s="1"/>
  <c r="E85" i="16"/>
  <c r="F85" i="16" s="1"/>
  <c r="E86" i="16"/>
  <c r="F86" i="16" s="1"/>
  <c r="E87" i="16"/>
  <c r="F87" i="16" s="1"/>
  <c r="E88" i="16"/>
  <c r="F88" i="16" s="1"/>
  <c r="E89" i="16"/>
  <c r="F89" i="16" s="1"/>
  <c r="E90" i="16"/>
  <c r="F90" i="16" s="1"/>
  <c r="E91" i="16"/>
  <c r="F91" i="16" s="1"/>
  <c r="E92" i="16"/>
  <c r="F92" i="16" s="1"/>
  <c r="E93" i="16"/>
  <c r="F93" i="16" s="1"/>
  <c r="E94" i="16"/>
  <c r="F94" i="16" s="1"/>
  <c r="E95" i="16"/>
  <c r="F95" i="16" s="1"/>
  <c r="E96" i="16"/>
  <c r="F96" i="16" s="1"/>
  <c r="E97" i="16"/>
  <c r="F97" i="16" s="1"/>
  <c r="E98" i="16"/>
  <c r="F98" i="16" s="1"/>
  <c r="E99" i="16"/>
  <c r="F99" i="16" s="1"/>
  <c r="E100" i="16"/>
  <c r="F100" i="16" s="1"/>
  <c r="E101" i="16"/>
  <c r="F101" i="16" s="1"/>
  <c r="E102" i="16"/>
  <c r="F102" i="16" s="1"/>
  <c r="E103" i="16"/>
  <c r="F103" i="16" s="1"/>
  <c r="E104" i="16"/>
  <c r="F104" i="16" s="1"/>
  <c r="E105" i="16"/>
  <c r="F105" i="16" s="1"/>
  <c r="E106" i="16"/>
  <c r="F106" i="16" s="1"/>
  <c r="E107" i="16"/>
  <c r="F107" i="16" s="1"/>
  <c r="E108" i="16"/>
  <c r="F108" i="16" s="1"/>
  <c r="E109" i="16"/>
  <c r="F109" i="16" s="1"/>
  <c r="E110" i="16"/>
  <c r="F110" i="16" s="1"/>
  <c r="E111" i="16"/>
  <c r="F111" i="16" s="1"/>
  <c r="E112" i="16"/>
  <c r="F112" i="16" s="1"/>
  <c r="E113" i="16"/>
  <c r="F113" i="16" s="1"/>
  <c r="E114" i="16"/>
  <c r="F114" i="16" s="1"/>
  <c r="E115" i="16"/>
  <c r="F115" i="16" s="1"/>
  <c r="E116" i="16"/>
  <c r="F116" i="16" s="1"/>
  <c r="E117" i="16"/>
  <c r="F117" i="16" s="1"/>
  <c r="E118" i="16"/>
  <c r="F118" i="16" s="1"/>
  <c r="E119" i="16"/>
  <c r="F119" i="16" s="1"/>
  <c r="E120" i="16"/>
  <c r="F120" i="16" s="1"/>
  <c r="E121" i="16"/>
  <c r="F121" i="16" s="1"/>
  <c r="E122" i="16"/>
  <c r="F122" i="16" s="1"/>
  <c r="E123" i="16"/>
  <c r="F123" i="16" s="1"/>
  <c r="E124" i="16"/>
  <c r="F124" i="16" s="1"/>
  <c r="E125" i="16"/>
  <c r="F125" i="16" s="1"/>
  <c r="E126" i="16"/>
  <c r="F126" i="16" s="1"/>
  <c r="E127" i="16"/>
  <c r="F127" i="16" s="1"/>
  <c r="E128" i="16"/>
  <c r="F128" i="16" s="1"/>
  <c r="E129" i="16"/>
  <c r="F129" i="16" s="1"/>
  <c r="E130" i="16"/>
  <c r="F130" i="16" s="1"/>
  <c r="E131" i="16"/>
  <c r="F131" i="16" s="1"/>
  <c r="E132" i="16"/>
  <c r="F132" i="16" s="1"/>
  <c r="E133" i="16"/>
  <c r="F133" i="16" s="1"/>
  <c r="E134" i="16"/>
  <c r="F134" i="16" s="1"/>
  <c r="E135" i="16"/>
  <c r="F135" i="16" s="1"/>
  <c r="E136" i="16"/>
  <c r="F136" i="16" s="1"/>
  <c r="E137" i="16"/>
  <c r="F137" i="16" s="1"/>
  <c r="E138" i="16"/>
  <c r="F138" i="16" s="1"/>
  <c r="E139" i="16"/>
  <c r="F139" i="16" s="1"/>
  <c r="E140" i="16"/>
  <c r="F140" i="16" s="1"/>
  <c r="E141" i="16"/>
  <c r="F141" i="16" s="1"/>
  <c r="E142" i="16"/>
  <c r="F142" i="16" s="1"/>
  <c r="E143" i="16"/>
  <c r="F143" i="16" s="1"/>
  <c r="E144" i="16"/>
  <c r="F144" i="16" s="1"/>
  <c r="E145" i="16"/>
  <c r="F145" i="16" s="1"/>
  <c r="E146" i="16"/>
  <c r="F146" i="16" s="1"/>
  <c r="E147" i="16"/>
  <c r="F147" i="16" s="1"/>
  <c r="E148" i="16"/>
  <c r="F148" i="16" s="1"/>
  <c r="E149" i="16"/>
  <c r="F149" i="16" s="1"/>
  <c r="E150" i="16"/>
  <c r="F150" i="16" s="1"/>
  <c r="E151" i="16"/>
  <c r="F151" i="16" s="1"/>
  <c r="E152" i="16"/>
  <c r="F152" i="16" s="1"/>
  <c r="E153" i="16"/>
  <c r="F153" i="16" s="1"/>
  <c r="E154" i="16"/>
  <c r="F154" i="16" s="1"/>
  <c r="E155" i="16"/>
  <c r="F155" i="16" s="1"/>
  <c r="E156" i="16"/>
  <c r="F156" i="16" s="1"/>
  <c r="E157" i="16"/>
  <c r="F157" i="16" s="1"/>
  <c r="E158" i="16"/>
  <c r="F158" i="16" s="1"/>
  <c r="E159" i="16"/>
  <c r="F159" i="16" s="1"/>
  <c r="E160" i="16"/>
  <c r="F160" i="16" s="1"/>
  <c r="E161" i="16"/>
  <c r="F161" i="16" s="1"/>
  <c r="E162" i="16"/>
  <c r="F162" i="16" s="1"/>
  <c r="E163" i="16"/>
  <c r="F163" i="16" s="1"/>
  <c r="E164" i="16"/>
  <c r="F164" i="16" s="1"/>
  <c r="E165" i="16"/>
  <c r="F165" i="16" s="1"/>
  <c r="E166" i="16"/>
  <c r="F166" i="16" s="1"/>
  <c r="E167" i="16"/>
  <c r="F167" i="16" s="1"/>
  <c r="E168" i="16"/>
  <c r="F168" i="16" s="1"/>
  <c r="E169" i="16"/>
  <c r="F169" i="16" s="1"/>
  <c r="E170" i="16"/>
  <c r="F170" i="16" s="1"/>
  <c r="E171" i="16"/>
  <c r="F171" i="16" s="1"/>
  <c r="E172" i="16"/>
  <c r="F172" i="16" s="1"/>
  <c r="E173" i="16"/>
  <c r="F173" i="16" s="1"/>
  <c r="E174" i="16"/>
  <c r="F174" i="16" s="1"/>
  <c r="E175" i="16"/>
  <c r="F175" i="16" s="1"/>
  <c r="E176" i="16"/>
  <c r="F176" i="16" s="1"/>
  <c r="E177" i="16"/>
  <c r="F177" i="16" s="1"/>
  <c r="E178" i="16"/>
  <c r="F178" i="16" s="1"/>
  <c r="E179" i="16"/>
  <c r="F179" i="16" s="1"/>
  <c r="E180" i="16"/>
  <c r="F180" i="16" s="1"/>
  <c r="E181" i="16"/>
  <c r="F181" i="16" s="1"/>
  <c r="E182" i="16"/>
  <c r="F182" i="16" s="1"/>
  <c r="E183" i="16"/>
  <c r="F183" i="16" s="1"/>
  <c r="E184" i="16"/>
  <c r="F184" i="16" s="1"/>
  <c r="E185" i="16"/>
  <c r="F185" i="16" s="1"/>
  <c r="E186" i="16"/>
  <c r="F186" i="16" s="1"/>
  <c r="E187" i="16"/>
  <c r="F187" i="16" s="1"/>
  <c r="E188" i="16"/>
  <c r="F188" i="16" s="1"/>
  <c r="E189" i="16"/>
  <c r="F189" i="16" s="1"/>
  <c r="E190" i="16"/>
  <c r="F190" i="16" s="1"/>
  <c r="E191" i="16"/>
  <c r="F191" i="16" s="1"/>
  <c r="E192" i="16"/>
  <c r="F192" i="16" s="1"/>
  <c r="E193" i="16"/>
  <c r="F193" i="16" s="1"/>
  <c r="E194" i="16"/>
  <c r="F194" i="16" s="1"/>
  <c r="E195" i="16"/>
  <c r="F195" i="16" s="1"/>
  <c r="E196" i="16"/>
  <c r="F196" i="16" s="1"/>
  <c r="E197" i="16"/>
  <c r="F197" i="16" s="1"/>
  <c r="E198" i="16"/>
  <c r="F198" i="16" s="1"/>
  <c r="E199" i="16"/>
  <c r="F199" i="16" s="1"/>
  <c r="E200" i="16"/>
  <c r="F200" i="16" s="1"/>
  <c r="E201" i="16"/>
  <c r="F201" i="16" s="1"/>
  <c r="E202" i="16"/>
  <c r="F202" i="16" s="1"/>
  <c r="E203" i="16"/>
  <c r="F203" i="16" s="1"/>
  <c r="E204" i="16"/>
  <c r="F204" i="16" s="1"/>
  <c r="E205" i="16"/>
  <c r="F205" i="16" s="1"/>
  <c r="E206" i="16"/>
  <c r="F206" i="16" s="1"/>
  <c r="E207" i="16"/>
  <c r="F207" i="16" s="1"/>
  <c r="E208" i="16"/>
  <c r="F208" i="16" s="1"/>
  <c r="E209" i="16"/>
  <c r="F209" i="16" s="1"/>
  <c r="E210" i="16"/>
  <c r="F210" i="16" s="1"/>
  <c r="E211" i="16"/>
  <c r="F211" i="16" s="1"/>
  <c r="E212" i="16"/>
  <c r="F212" i="16" s="1"/>
  <c r="E213" i="16"/>
  <c r="F213" i="16" s="1"/>
  <c r="E214" i="16"/>
  <c r="F214" i="16" s="1"/>
  <c r="E215" i="16"/>
  <c r="F215" i="16" s="1"/>
  <c r="E216" i="16"/>
  <c r="F216" i="16" s="1"/>
  <c r="E217" i="16"/>
  <c r="F217" i="16" s="1"/>
  <c r="E218" i="16"/>
  <c r="F218" i="16" s="1"/>
  <c r="E219" i="16"/>
  <c r="F219" i="16" s="1"/>
  <c r="E220" i="16"/>
  <c r="F220" i="16" s="1"/>
  <c r="E221" i="16"/>
  <c r="F221" i="16" s="1"/>
  <c r="E222" i="16"/>
  <c r="F222" i="16" s="1"/>
  <c r="E223" i="16"/>
  <c r="F223" i="16" s="1"/>
  <c r="E224" i="16"/>
  <c r="F224" i="16" s="1"/>
  <c r="E225" i="16"/>
  <c r="F225" i="16" s="1"/>
  <c r="E226" i="16"/>
  <c r="F226" i="16" s="1"/>
  <c r="E227" i="16"/>
  <c r="F227" i="16" s="1"/>
  <c r="E228" i="16"/>
  <c r="F228" i="16" s="1"/>
  <c r="E229" i="16"/>
  <c r="F229" i="16" s="1"/>
  <c r="E230" i="16"/>
  <c r="F230" i="16" s="1"/>
  <c r="E231" i="16"/>
  <c r="F231" i="16" s="1"/>
  <c r="E232" i="16"/>
  <c r="F232" i="16" s="1"/>
  <c r="E233" i="16"/>
  <c r="F233" i="16" s="1"/>
  <c r="E234" i="16"/>
  <c r="F234" i="16" s="1"/>
  <c r="E235" i="16"/>
  <c r="F235" i="16" s="1"/>
  <c r="E236" i="16"/>
  <c r="F236" i="16" s="1"/>
  <c r="E237" i="16"/>
  <c r="F237" i="16" s="1"/>
  <c r="E238" i="16"/>
  <c r="F238" i="16" s="1"/>
  <c r="E239" i="16"/>
  <c r="F239" i="16" s="1"/>
  <c r="E240" i="16"/>
  <c r="F240" i="16" s="1"/>
  <c r="E241" i="16"/>
  <c r="F241" i="16" s="1"/>
  <c r="E242" i="16"/>
  <c r="F242" i="16" s="1"/>
  <c r="E243" i="16"/>
  <c r="F243" i="16" s="1"/>
  <c r="E244" i="16"/>
  <c r="F244" i="16" s="1"/>
  <c r="E245" i="16"/>
  <c r="F245" i="16" s="1"/>
  <c r="E246" i="16"/>
  <c r="F246" i="16" s="1"/>
  <c r="E247" i="16"/>
  <c r="F247" i="16" s="1"/>
  <c r="E248" i="16"/>
  <c r="F248" i="16" s="1"/>
  <c r="E249" i="16"/>
  <c r="F249" i="16" s="1"/>
  <c r="E250" i="16"/>
  <c r="F250" i="16" s="1"/>
  <c r="E251" i="16"/>
  <c r="F251" i="16" s="1"/>
  <c r="E252" i="16"/>
  <c r="F252" i="16" s="1"/>
  <c r="E253" i="16"/>
  <c r="F253" i="16" s="1"/>
  <c r="E254" i="16"/>
  <c r="F254" i="16" s="1"/>
  <c r="E255" i="16"/>
  <c r="F255" i="16" s="1"/>
  <c r="E256" i="16"/>
  <c r="F256" i="16" s="1"/>
  <c r="E257" i="16"/>
  <c r="F257" i="16" s="1"/>
  <c r="E258" i="16"/>
  <c r="F258" i="16" s="1"/>
  <c r="E259" i="16"/>
  <c r="F259" i="16" s="1"/>
  <c r="E260" i="16"/>
  <c r="F260" i="16" s="1"/>
  <c r="E261" i="16"/>
  <c r="F261" i="16" s="1"/>
  <c r="E262" i="16"/>
  <c r="F262" i="16" s="1"/>
  <c r="E263" i="16"/>
  <c r="F263" i="16" s="1"/>
  <c r="E264" i="16"/>
  <c r="F264" i="16" s="1"/>
  <c r="E265" i="16"/>
  <c r="F265" i="16" s="1"/>
  <c r="E266" i="16"/>
  <c r="F266" i="16" s="1"/>
  <c r="E267" i="16"/>
  <c r="F267" i="16" s="1"/>
  <c r="E268" i="16"/>
  <c r="F268" i="16" s="1"/>
  <c r="E269" i="16"/>
  <c r="F269" i="16" s="1"/>
  <c r="E270" i="16"/>
  <c r="F270" i="16" s="1"/>
  <c r="E271" i="16"/>
  <c r="F271" i="16" s="1"/>
  <c r="E272" i="16"/>
  <c r="F272" i="16" s="1"/>
  <c r="E273" i="16"/>
  <c r="F273" i="16" s="1"/>
  <c r="E274" i="16"/>
  <c r="F274" i="16" s="1"/>
  <c r="E275" i="16"/>
  <c r="F275" i="16" s="1"/>
  <c r="E276" i="16"/>
  <c r="F276" i="16" s="1"/>
  <c r="E277" i="16"/>
  <c r="F277" i="16" s="1"/>
  <c r="E278" i="16"/>
  <c r="F278" i="16" s="1"/>
  <c r="E279" i="16"/>
  <c r="F279" i="16" s="1"/>
  <c r="E280" i="16"/>
  <c r="F280" i="16" s="1"/>
  <c r="E281" i="16"/>
  <c r="F281" i="16" s="1"/>
  <c r="E282" i="16"/>
  <c r="F282" i="16" s="1"/>
  <c r="E283" i="16"/>
  <c r="F283" i="16" s="1"/>
  <c r="E284" i="16"/>
  <c r="F284" i="16" s="1"/>
  <c r="E285" i="16"/>
  <c r="F285" i="16" s="1"/>
  <c r="E286" i="16"/>
  <c r="F286" i="16" s="1"/>
  <c r="E287" i="16"/>
  <c r="F287" i="16" s="1"/>
  <c r="E288" i="16"/>
  <c r="F288" i="16" s="1"/>
  <c r="E289" i="16"/>
  <c r="F289" i="16" s="1"/>
  <c r="E290" i="16"/>
  <c r="F290" i="16" s="1"/>
  <c r="E291" i="16"/>
  <c r="F291" i="16" s="1"/>
  <c r="E292" i="16"/>
  <c r="F292" i="16" s="1"/>
  <c r="E293" i="16"/>
  <c r="F293" i="16" s="1"/>
  <c r="E294" i="16"/>
  <c r="F294" i="16" s="1"/>
  <c r="E295" i="16"/>
  <c r="F295" i="16" s="1"/>
  <c r="E296" i="16"/>
  <c r="F296" i="16" s="1"/>
  <c r="E297" i="16"/>
  <c r="F297" i="16" s="1"/>
  <c r="E298" i="16"/>
  <c r="F298" i="16" s="1"/>
  <c r="E299" i="16"/>
  <c r="F299" i="16" s="1"/>
  <c r="E300" i="16"/>
  <c r="F300" i="16" s="1"/>
  <c r="E301" i="16"/>
  <c r="F301" i="16" s="1"/>
  <c r="E302" i="16"/>
  <c r="F302" i="16" s="1"/>
  <c r="E303" i="16"/>
  <c r="F303" i="16" s="1"/>
  <c r="E304" i="16"/>
  <c r="F304" i="16" s="1"/>
  <c r="E305" i="16"/>
  <c r="F305" i="16" s="1"/>
  <c r="E306" i="16"/>
  <c r="F306" i="16" s="1"/>
  <c r="E307" i="16"/>
  <c r="F307" i="16" s="1"/>
  <c r="E308" i="16"/>
  <c r="F308" i="16" s="1"/>
  <c r="E309" i="16"/>
  <c r="F309" i="16" s="1"/>
  <c r="E310" i="16"/>
  <c r="F310" i="16" s="1"/>
  <c r="E311" i="16"/>
  <c r="F311" i="16" s="1"/>
  <c r="E312" i="16"/>
  <c r="F312" i="16" s="1"/>
  <c r="E313" i="16"/>
  <c r="F313" i="16" s="1"/>
  <c r="E314" i="16"/>
  <c r="F314" i="16" s="1"/>
  <c r="E315" i="16"/>
  <c r="F315" i="16" s="1"/>
  <c r="E316" i="16"/>
  <c r="F316" i="16" s="1"/>
  <c r="E317" i="16"/>
  <c r="F317" i="16" s="1"/>
  <c r="E318" i="16"/>
  <c r="F318" i="16" s="1"/>
  <c r="E319" i="16"/>
  <c r="F319" i="16" s="1"/>
  <c r="E320" i="16"/>
  <c r="F320" i="16" s="1"/>
  <c r="E321" i="16"/>
  <c r="F321" i="16" s="1"/>
  <c r="E322" i="16"/>
  <c r="F322" i="16" s="1"/>
  <c r="E323" i="16"/>
  <c r="F323" i="16" s="1"/>
  <c r="E324" i="16"/>
  <c r="F324" i="16" s="1"/>
  <c r="E325" i="16"/>
  <c r="F325" i="16" s="1"/>
  <c r="E326" i="16"/>
  <c r="F326" i="16" s="1"/>
  <c r="E327" i="16"/>
  <c r="F327" i="16" s="1"/>
  <c r="E328" i="16"/>
  <c r="F328" i="16" s="1"/>
  <c r="E329" i="16"/>
  <c r="F329" i="16" s="1"/>
  <c r="E330" i="16"/>
  <c r="F330" i="16" s="1"/>
  <c r="E331" i="16"/>
  <c r="F331" i="16" s="1"/>
  <c r="E332" i="16"/>
  <c r="F332" i="16" s="1"/>
  <c r="E333" i="16"/>
  <c r="F333" i="16" s="1"/>
  <c r="E334" i="16"/>
  <c r="F334" i="16" s="1"/>
  <c r="E335" i="16"/>
  <c r="F335" i="16" s="1"/>
  <c r="E336" i="16"/>
  <c r="F336" i="16" s="1"/>
  <c r="E337" i="16"/>
  <c r="F337" i="16" s="1"/>
  <c r="E338" i="16"/>
  <c r="F338" i="16" s="1"/>
  <c r="E339" i="16"/>
  <c r="F339" i="16" s="1"/>
  <c r="E340" i="16"/>
  <c r="F340" i="16" s="1"/>
  <c r="E341" i="16"/>
  <c r="F341" i="16" s="1"/>
  <c r="E342" i="16"/>
  <c r="F342" i="16" s="1"/>
  <c r="E343" i="16"/>
  <c r="F343" i="16" s="1"/>
  <c r="E344" i="16"/>
  <c r="F344" i="16" s="1"/>
  <c r="E345" i="16"/>
  <c r="F345" i="16" s="1"/>
  <c r="E346" i="16"/>
  <c r="F346" i="16" s="1"/>
  <c r="E347" i="16"/>
  <c r="F347" i="16" s="1"/>
  <c r="E348" i="16"/>
  <c r="F348" i="16" s="1"/>
  <c r="E349" i="16"/>
  <c r="F349" i="16" s="1"/>
  <c r="E350" i="16"/>
  <c r="F350" i="16" s="1"/>
  <c r="E351" i="16"/>
  <c r="F351" i="16" s="1"/>
  <c r="E352" i="16"/>
  <c r="F352" i="16" s="1"/>
  <c r="E353" i="16"/>
  <c r="F353" i="16" s="1"/>
  <c r="E354" i="16"/>
  <c r="F354" i="16" s="1"/>
  <c r="E355" i="16"/>
  <c r="F355" i="16" s="1"/>
  <c r="E356" i="16"/>
  <c r="F356" i="16" s="1"/>
  <c r="E357" i="16"/>
  <c r="F357" i="16" s="1"/>
  <c r="E358" i="16"/>
  <c r="F358" i="16" s="1"/>
  <c r="E359" i="16"/>
  <c r="F359" i="16" s="1"/>
  <c r="E360" i="16"/>
  <c r="F360" i="16" s="1"/>
  <c r="E361" i="16"/>
  <c r="F361" i="16" s="1"/>
  <c r="E362" i="16"/>
  <c r="F362" i="16" s="1"/>
  <c r="E363" i="16"/>
  <c r="F363" i="16" s="1"/>
  <c r="E364" i="16"/>
  <c r="F364" i="16" s="1"/>
  <c r="E365" i="16"/>
  <c r="F365" i="16" s="1"/>
  <c r="E366" i="16"/>
  <c r="F366" i="16" s="1"/>
  <c r="E367" i="16"/>
  <c r="F367" i="16" s="1"/>
  <c r="E368" i="16"/>
  <c r="F368" i="16" s="1"/>
  <c r="E369" i="16"/>
  <c r="F369" i="16" s="1"/>
  <c r="E370" i="16"/>
  <c r="F370" i="16" s="1"/>
  <c r="E371" i="16"/>
  <c r="F371" i="16" s="1"/>
  <c r="E372" i="16"/>
  <c r="F372" i="16" s="1"/>
  <c r="E373" i="16"/>
  <c r="F373" i="16" s="1"/>
  <c r="E374" i="16"/>
  <c r="F374" i="16" s="1"/>
  <c r="E375" i="16"/>
  <c r="F375" i="16" s="1"/>
  <c r="E376" i="16"/>
  <c r="F376" i="16" s="1"/>
  <c r="E377" i="16"/>
  <c r="F377" i="16" s="1"/>
  <c r="E378" i="16"/>
  <c r="F378" i="16" s="1"/>
  <c r="E379" i="16"/>
  <c r="F379" i="16" s="1"/>
  <c r="E380" i="16"/>
  <c r="F380" i="16" s="1"/>
  <c r="E381" i="16"/>
  <c r="F381" i="16" s="1"/>
  <c r="E382" i="16"/>
  <c r="F382" i="16" s="1"/>
  <c r="E383" i="16"/>
  <c r="F383" i="16" s="1"/>
  <c r="E384" i="16"/>
  <c r="F384" i="16" s="1"/>
  <c r="E385" i="16"/>
  <c r="F385" i="16" s="1"/>
  <c r="E386" i="16"/>
  <c r="F386" i="16" s="1"/>
  <c r="E387" i="16"/>
  <c r="F387" i="16" s="1"/>
  <c r="E388" i="16"/>
  <c r="F388" i="16" s="1"/>
  <c r="E389" i="16"/>
  <c r="F389" i="16" s="1"/>
  <c r="E390" i="16"/>
  <c r="F390" i="16" s="1"/>
  <c r="E391" i="16"/>
  <c r="F391" i="16" s="1"/>
  <c r="E392" i="16"/>
  <c r="F392" i="16" s="1"/>
  <c r="E393" i="16"/>
  <c r="F393" i="16" s="1"/>
  <c r="E394" i="16"/>
  <c r="F394" i="16" s="1"/>
  <c r="E395" i="16"/>
  <c r="F395" i="16" s="1"/>
  <c r="E396" i="16"/>
  <c r="F396" i="16" s="1"/>
  <c r="E397" i="16"/>
  <c r="F397" i="16" s="1"/>
  <c r="E398" i="16"/>
  <c r="F398" i="16" s="1"/>
  <c r="E399" i="16"/>
  <c r="F399" i="16" s="1"/>
  <c r="E400" i="16"/>
  <c r="F400" i="16" s="1"/>
  <c r="E401" i="16"/>
  <c r="F401" i="16" s="1"/>
  <c r="E402" i="16"/>
  <c r="F402" i="16" s="1"/>
  <c r="E403" i="16"/>
  <c r="F403" i="16" s="1"/>
  <c r="E404" i="16"/>
  <c r="F404" i="16" s="1"/>
  <c r="E405" i="16"/>
  <c r="F405" i="16" s="1"/>
  <c r="E406" i="16"/>
  <c r="F406" i="16" s="1"/>
  <c r="E407" i="16"/>
  <c r="F407" i="16" s="1"/>
  <c r="E408" i="16"/>
  <c r="F408" i="16" s="1"/>
  <c r="E409" i="16"/>
  <c r="F409" i="16" s="1"/>
  <c r="E410" i="16"/>
  <c r="F410" i="16" s="1"/>
  <c r="E411" i="16"/>
  <c r="F411" i="16" s="1"/>
  <c r="E412" i="16"/>
  <c r="F412" i="16" s="1"/>
  <c r="E413" i="16"/>
  <c r="F413" i="16" s="1"/>
  <c r="E414" i="16"/>
  <c r="F414" i="16" s="1"/>
  <c r="E415" i="16"/>
  <c r="F415" i="16" s="1"/>
  <c r="E416" i="16"/>
  <c r="F416" i="16" s="1"/>
  <c r="E417" i="16"/>
  <c r="F417" i="16" s="1"/>
  <c r="E418" i="16"/>
  <c r="F418" i="16" s="1"/>
  <c r="E419" i="16"/>
  <c r="F419" i="16" s="1"/>
  <c r="E420" i="16"/>
  <c r="F420" i="16" s="1"/>
  <c r="E421" i="16"/>
  <c r="F421" i="16" s="1"/>
  <c r="E422" i="16"/>
  <c r="F422" i="16" s="1"/>
  <c r="E423" i="16"/>
  <c r="F423" i="16" s="1"/>
  <c r="E424" i="16"/>
  <c r="F424" i="16" s="1"/>
  <c r="E425" i="16"/>
  <c r="F425" i="16" s="1"/>
  <c r="E426" i="16"/>
  <c r="F426" i="16" s="1"/>
  <c r="E427" i="16"/>
  <c r="F427" i="16" s="1"/>
  <c r="E428" i="16"/>
  <c r="F428" i="16" s="1"/>
  <c r="E429" i="16"/>
  <c r="F429" i="16" s="1"/>
  <c r="E430" i="16"/>
  <c r="F430" i="16" s="1"/>
  <c r="E431" i="16"/>
  <c r="F431" i="16" s="1"/>
  <c r="E432" i="16"/>
  <c r="F432" i="16" s="1"/>
  <c r="E433" i="16"/>
  <c r="F433" i="16" s="1"/>
  <c r="E434" i="16"/>
  <c r="F434" i="16" s="1"/>
  <c r="E435" i="16"/>
  <c r="F435" i="16" s="1"/>
  <c r="E436" i="16"/>
  <c r="F436" i="16" s="1"/>
  <c r="E437" i="16"/>
  <c r="F437" i="16" s="1"/>
  <c r="E438" i="16"/>
  <c r="F438" i="16" s="1"/>
  <c r="E439" i="16"/>
  <c r="F439" i="16" s="1"/>
  <c r="E440" i="16"/>
  <c r="F440" i="16" s="1"/>
  <c r="E441" i="16"/>
  <c r="F441" i="16" s="1"/>
  <c r="E442" i="16"/>
  <c r="F442" i="16" s="1"/>
  <c r="E443" i="16"/>
  <c r="F443" i="16" s="1"/>
  <c r="E444" i="16"/>
  <c r="F444" i="16" s="1"/>
  <c r="E445" i="16"/>
  <c r="F445" i="16" s="1"/>
  <c r="E446" i="16"/>
  <c r="F446" i="16" s="1"/>
  <c r="E447" i="16"/>
  <c r="F447" i="16" s="1"/>
  <c r="E448" i="16"/>
  <c r="F448" i="16" s="1"/>
  <c r="E449" i="16"/>
  <c r="F449" i="16" s="1"/>
  <c r="E450" i="16"/>
  <c r="F450" i="16" s="1"/>
  <c r="E451" i="16"/>
  <c r="F451" i="16" s="1"/>
  <c r="E452" i="16"/>
  <c r="F452" i="16" s="1"/>
  <c r="E453" i="16"/>
  <c r="F453" i="16" s="1"/>
  <c r="E454" i="16"/>
  <c r="F454" i="16" s="1"/>
  <c r="E455" i="16"/>
  <c r="F455" i="16" s="1"/>
  <c r="E456" i="16"/>
  <c r="F456" i="16" s="1"/>
  <c r="E457" i="16"/>
  <c r="F457" i="16" s="1"/>
  <c r="E458" i="16"/>
  <c r="F458" i="16" s="1"/>
  <c r="E459" i="16"/>
  <c r="F459" i="16" s="1"/>
  <c r="E460" i="16"/>
  <c r="F460" i="16" s="1"/>
  <c r="E461" i="16"/>
  <c r="F461" i="16" s="1"/>
  <c r="E462" i="16"/>
  <c r="F462" i="16" s="1"/>
  <c r="E463" i="16"/>
  <c r="F463" i="16" s="1"/>
  <c r="E464" i="16"/>
  <c r="F464" i="16" s="1"/>
  <c r="E465" i="16"/>
  <c r="F465" i="16" s="1"/>
  <c r="E466" i="16"/>
  <c r="F466" i="16" s="1"/>
  <c r="E467" i="16"/>
  <c r="F467" i="16" s="1"/>
  <c r="E468" i="16"/>
  <c r="F468" i="16" s="1"/>
  <c r="E469" i="16"/>
  <c r="F469" i="16" s="1"/>
  <c r="E470" i="16"/>
  <c r="F470" i="16" s="1"/>
  <c r="E471" i="16"/>
  <c r="F471" i="16" s="1"/>
  <c r="E472" i="16"/>
  <c r="F472" i="16" s="1"/>
  <c r="E473" i="16"/>
  <c r="F473" i="16" s="1"/>
  <c r="E474" i="16"/>
  <c r="F474" i="16" s="1"/>
  <c r="E475" i="16"/>
  <c r="F475" i="16" s="1"/>
  <c r="E476" i="16"/>
  <c r="F476" i="16" s="1"/>
  <c r="E477" i="16"/>
  <c r="F477" i="16" s="1"/>
  <c r="E478" i="16"/>
  <c r="F478" i="16" s="1"/>
  <c r="E479" i="16"/>
  <c r="F479" i="16" s="1"/>
  <c r="E480" i="16"/>
  <c r="F480" i="16" s="1"/>
  <c r="E481" i="16"/>
  <c r="F481" i="16" s="1"/>
  <c r="E482" i="16"/>
  <c r="F482" i="16" s="1"/>
  <c r="E483" i="16"/>
  <c r="F483" i="16" s="1"/>
  <c r="E484" i="16"/>
  <c r="F484" i="16" s="1"/>
  <c r="E485" i="16"/>
  <c r="F485" i="16" s="1"/>
  <c r="E486" i="16"/>
  <c r="F486" i="16" s="1"/>
  <c r="E487" i="16"/>
  <c r="F487" i="16" s="1"/>
  <c r="E488" i="16"/>
  <c r="F488" i="16" s="1"/>
  <c r="E489" i="16"/>
  <c r="F489" i="16" s="1"/>
  <c r="E490" i="16"/>
  <c r="F490" i="16" s="1"/>
  <c r="E491" i="16"/>
  <c r="F491" i="16" s="1"/>
  <c r="E492" i="16"/>
  <c r="F492" i="16" s="1"/>
  <c r="E493" i="16"/>
  <c r="F493" i="16" s="1"/>
  <c r="E494" i="16"/>
  <c r="F494" i="16" s="1"/>
  <c r="E495" i="16"/>
  <c r="F495" i="16" s="1"/>
  <c r="E496" i="16"/>
  <c r="F496" i="16" s="1"/>
  <c r="E497" i="16"/>
  <c r="F497" i="16" s="1"/>
  <c r="E498" i="16"/>
  <c r="F498" i="16" s="1"/>
  <c r="E499" i="16"/>
  <c r="F499" i="16" s="1"/>
  <c r="E500" i="16"/>
  <c r="F500" i="16" s="1"/>
  <c r="E501" i="16"/>
  <c r="F501" i="16" s="1"/>
  <c r="E502" i="16"/>
  <c r="F502" i="16" s="1"/>
  <c r="E503" i="16"/>
  <c r="F503" i="16" s="1"/>
  <c r="E504" i="16"/>
  <c r="F504" i="16" s="1"/>
  <c r="E505" i="16"/>
  <c r="F505" i="16" s="1"/>
  <c r="E506" i="16"/>
  <c r="F506" i="16" s="1"/>
  <c r="E507" i="16"/>
  <c r="F507" i="16" s="1"/>
  <c r="E508" i="16"/>
  <c r="F508" i="16" s="1"/>
  <c r="E509" i="16"/>
  <c r="F509" i="16" s="1"/>
  <c r="E510" i="16"/>
  <c r="F510" i="16" s="1"/>
  <c r="E511" i="16"/>
  <c r="F511" i="16" s="1"/>
  <c r="E512" i="16"/>
  <c r="F512" i="16" s="1"/>
  <c r="E513" i="16"/>
  <c r="F513" i="16" s="1"/>
  <c r="E514" i="16"/>
  <c r="F514" i="16" s="1"/>
  <c r="E515" i="16"/>
  <c r="F515" i="16" s="1"/>
  <c r="E516" i="16"/>
  <c r="F516" i="16" s="1"/>
  <c r="E517" i="16"/>
  <c r="F517" i="16" s="1"/>
  <c r="E518" i="16"/>
  <c r="F518" i="16" s="1"/>
  <c r="E519" i="16"/>
  <c r="F519" i="16" s="1"/>
  <c r="E520" i="16"/>
  <c r="F520" i="16" s="1"/>
  <c r="E521" i="16"/>
  <c r="F521" i="16" s="1"/>
  <c r="E522" i="16"/>
  <c r="F522" i="16" s="1"/>
  <c r="E523" i="16"/>
  <c r="F523" i="16" s="1"/>
  <c r="E524" i="16"/>
  <c r="F524" i="16" s="1"/>
  <c r="E525" i="16"/>
  <c r="F525" i="16" s="1"/>
  <c r="E526" i="16"/>
  <c r="F526" i="16" s="1"/>
  <c r="E527" i="16"/>
  <c r="F527" i="16" s="1"/>
  <c r="E528" i="16"/>
  <c r="F528" i="16" s="1"/>
  <c r="E529" i="16"/>
  <c r="F529" i="16" s="1"/>
  <c r="E530" i="16"/>
  <c r="F530" i="16" s="1"/>
  <c r="E531" i="16"/>
  <c r="F531" i="16" s="1"/>
  <c r="E532" i="16"/>
  <c r="F532" i="16" s="1"/>
  <c r="E533" i="16"/>
  <c r="F533" i="16" s="1"/>
  <c r="E534" i="16"/>
  <c r="F534" i="16" s="1"/>
  <c r="E535" i="16"/>
  <c r="F535" i="16" s="1"/>
  <c r="E536" i="16"/>
  <c r="F536" i="16" s="1"/>
  <c r="E537" i="16"/>
  <c r="F537" i="16" s="1"/>
  <c r="E538" i="16"/>
  <c r="F538" i="16" s="1"/>
  <c r="E539" i="16"/>
  <c r="F539" i="16" s="1"/>
  <c r="E540" i="16"/>
  <c r="F540" i="16" s="1"/>
  <c r="E541" i="16"/>
  <c r="F541" i="16" s="1"/>
  <c r="E542" i="16"/>
  <c r="F542" i="16" s="1"/>
  <c r="E543" i="16"/>
  <c r="F543" i="16" s="1"/>
  <c r="E544" i="16"/>
  <c r="F544" i="16" s="1"/>
  <c r="E545" i="16"/>
  <c r="F545" i="16" s="1"/>
  <c r="E546" i="16"/>
  <c r="F546" i="16" s="1"/>
  <c r="E547" i="16"/>
  <c r="F547" i="16" s="1"/>
  <c r="E548" i="16"/>
  <c r="F548" i="16" s="1"/>
  <c r="E549" i="16"/>
  <c r="F549" i="16" s="1"/>
  <c r="E550" i="16"/>
  <c r="F550" i="16" s="1"/>
  <c r="E551" i="16"/>
  <c r="F551" i="16" s="1"/>
  <c r="E552" i="16"/>
  <c r="F552" i="16" s="1"/>
  <c r="E553" i="16"/>
  <c r="F553" i="16" s="1"/>
  <c r="E554" i="16"/>
  <c r="F554" i="16" s="1"/>
  <c r="E555" i="16"/>
  <c r="F555" i="16" s="1"/>
  <c r="E556" i="16"/>
  <c r="F556" i="16" s="1"/>
  <c r="E557" i="16"/>
  <c r="F557" i="16" s="1"/>
  <c r="E558" i="16"/>
  <c r="F558" i="16" s="1"/>
  <c r="E559" i="16"/>
  <c r="F559" i="16" s="1"/>
  <c r="E560" i="16"/>
  <c r="F560" i="16" s="1"/>
  <c r="E561" i="16"/>
  <c r="F561" i="16" s="1"/>
  <c r="E562" i="16"/>
  <c r="F562" i="16" s="1"/>
  <c r="E563" i="16"/>
  <c r="F563" i="16" s="1"/>
  <c r="E564" i="16"/>
  <c r="F564" i="16" s="1"/>
  <c r="E565" i="16"/>
  <c r="F565" i="16" s="1"/>
  <c r="E566" i="16"/>
  <c r="F566" i="16" s="1"/>
  <c r="E567" i="16"/>
  <c r="F567" i="16" s="1"/>
  <c r="E568" i="16"/>
  <c r="F568" i="16" s="1"/>
  <c r="E569" i="16"/>
  <c r="F569" i="16" s="1"/>
  <c r="E570" i="16"/>
  <c r="F570" i="16" s="1"/>
  <c r="E571" i="16"/>
  <c r="F571" i="16" s="1"/>
  <c r="E572" i="16"/>
  <c r="F572" i="16" s="1"/>
  <c r="E573" i="16"/>
  <c r="F573" i="16" s="1"/>
  <c r="E574" i="16"/>
  <c r="F574" i="16" s="1"/>
  <c r="E575" i="16"/>
  <c r="F575" i="16" s="1"/>
  <c r="E576" i="16"/>
  <c r="F576" i="16" s="1"/>
  <c r="E577" i="16"/>
  <c r="F577" i="16" s="1"/>
  <c r="E578" i="16"/>
  <c r="F578" i="16" s="1"/>
  <c r="E579" i="16"/>
  <c r="F579" i="16" s="1"/>
  <c r="E580" i="16"/>
  <c r="F580" i="16" s="1"/>
  <c r="E581" i="16"/>
  <c r="F581" i="16" s="1"/>
  <c r="E582" i="16"/>
  <c r="F582" i="16" s="1"/>
  <c r="E583" i="16"/>
  <c r="F583" i="16" s="1"/>
  <c r="E584" i="16"/>
  <c r="F584" i="16" s="1"/>
  <c r="E585" i="16"/>
  <c r="F585" i="16" s="1"/>
  <c r="E586" i="16"/>
  <c r="F586" i="16" s="1"/>
  <c r="E587" i="16"/>
  <c r="F587" i="16" s="1"/>
  <c r="E588" i="16"/>
  <c r="F588" i="16" s="1"/>
  <c r="E589" i="16"/>
  <c r="F589" i="16" s="1"/>
  <c r="E590" i="16"/>
  <c r="F590" i="16" s="1"/>
  <c r="E591" i="16"/>
  <c r="F591" i="16" s="1"/>
  <c r="E592" i="16"/>
  <c r="F592" i="16" s="1"/>
  <c r="E593" i="16"/>
  <c r="F593" i="16" s="1"/>
  <c r="E594" i="16"/>
  <c r="F594" i="16" s="1"/>
  <c r="E595" i="16"/>
  <c r="F595" i="16" s="1"/>
  <c r="E596" i="16"/>
  <c r="F596" i="16" s="1"/>
  <c r="E597" i="16"/>
  <c r="F597" i="16" s="1"/>
  <c r="E598" i="16"/>
  <c r="F598" i="16" s="1"/>
  <c r="E599" i="16"/>
  <c r="F599" i="16" s="1"/>
  <c r="E600" i="16"/>
  <c r="F600" i="16" s="1"/>
  <c r="E601" i="16"/>
  <c r="F601" i="16" s="1"/>
  <c r="E602" i="16"/>
  <c r="F602" i="16" s="1"/>
  <c r="E603" i="16"/>
  <c r="F603" i="16" s="1"/>
  <c r="E604" i="16"/>
  <c r="F604" i="16" s="1"/>
  <c r="E605" i="16"/>
  <c r="F605" i="16" s="1"/>
  <c r="E606" i="16"/>
  <c r="F606" i="16" s="1"/>
  <c r="E607" i="16"/>
  <c r="F607" i="16" s="1"/>
  <c r="E608" i="16"/>
  <c r="F608" i="16" s="1"/>
  <c r="E609" i="16"/>
  <c r="F609" i="16" s="1"/>
  <c r="E610" i="16"/>
  <c r="F610" i="16" s="1"/>
  <c r="E611" i="16"/>
  <c r="F611" i="16" s="1"/>
  <c r="E612" i="16"/>
  <c r="F612" i="16" s="1"/>
  <c r="E613" i="16"/>
  <c r="F613" i="16" s="1"/>
  <c r="E614" i="16"/>
  <c r="F614" i="16" s="1"/>
  <c r="E615" i="16"/>
  <c r="F615" i="16" s="1"/>
  <c r="E616" i="16"/>
  <c r="F616" i="16" s="1"/>
  <c r="E617" i="16"/>
  <c r="F617" i="16" s="1"/>
  <c r="E618" i="16"/>
  <c r="F618" i="16" s="1"/>
  <c r="E619" i="16"/>
  <c r="F619" i="16" s="1"/>
  <c r="E620" i="16"/>
  <c r="F620" i="16" s="1"/>
  <c r="E621" i="16"/>
  <c r="F621" i="16" s="1"/>
  <c r="E622" i="16"/>
  <c r="F622" i="16" s="1"/>
  <c r="E623" i="16"/>
  <c r="F623" i="16" s="1"/>
  <c r="E624" i="16"/>
  <c r="F624" i="16" s="1"/>
  <c r="E625" i="16"/>
  <c r="F625" i="16" s="1"/>
  <c r="E626" i="16"/>
  <c r="F626" i="16" s="1"/>
  <c r="E627" i="16"/>
  <c r="F627" i="16" s="1"/>
  <c r="E628" i="16"/>
  <c r="F628" i="16" s="1"/>
  <c r="E629" i="16"/>
  <c r="F629" i="16" s="1"/>
  <c r="E630" i="16"/>
  <c r="F630" i="16" s="1"/>
  <c r="E631" i="16"/>
  <c r="F631" i="16" s="1"/>
  <c r="E632" i="16"/>
  <c r="F632" i="16" s="1"/>
  <c r="E633" i="16"/>
  <c r="F633" i="16" s="1"/>
  <c r="E634" i="16"/>
  <c r="F634" i="16" s="1"/>
  <c r="E635" i="16"/>
  <c r="F635" i="16" s="1"/>
  <c r="E636" i="16"/>
  <c r="F636" i="16" s="1"/>
  <c r="E637" i="16"/>
  <c r="F637" i="16" s="1"/>
  <c r="E638" i="16"/>
  <c r="F638" i="16" s="1"/>
  <c r="E639" i="16"/>
  <c r="F639" i="16" s="1"/>
  <c r="E640" i="16"/>
  <c r="F640" i="16" s="1"/>
  <c r="E641" i="16"/>
  <c r="F641" i="16" s="1"/>
  <c r="E642" i="16"/>
  <c r="F642" i="16" s="1"/>
  <c r="E643" i="16"/>
  <c r="F643" i="16" s="1"/>
  <c r="E644" i="16"/>
  <c r="F644" i="16" s="1"/>
  <c r="E645" i="16"/>
  <c r="F645" i="16" s="1"/>
  <c r="E646" i="16"/>
  <c r="F646" i="16" s="1"/>
  <c r="E647" i="16"/>
  <c r="F647" i="16" s="1"/>
  <c r="E648" i="16"/>
  <c r="F648" i="16" s="1"/>
  <c r="E649" i="16"/>
  <c r="F649" i="16" s="1"/>
  <c r="E650" i="16"/>
  <c r="F650" i="16" s="1"/>
  <c r="E651" i="16"/>
  <c r="F651" i="16" s="1"/>
  <c r="E652" i="16"/>
  <c r="F652" i="16" s="1"/>
  <c r="E653" i="16"/>
  <c r="F653" i="16" s="1"/>
  <c r="E654" i="16"/>
  <c r="F654" i="16" s="1"/>
  <c r="E655" i="16"/>
  <c r="F655" i="16" s="1"/>
  <c r="E656" i="16"/>
  <c r="F656" i="16" s="1"/>
  <c r="E657" i="16"/>
  <c r="F657" i="16" s="1"/>
  <c r="E658" i="16"/>
  <c r="F658" i="16" s="1"/>
  <c r="E659" i="16"/>
  <c r="F659" i="16" s="1"/>
  <c r="E660" i="16"/>
  <c r="F660" i="16" s="1"/>
  <c r="E661" i="16"/>
  <c r="F661" i="16" s="1"/>
  <c r="E662" i="16"/>
  <c r="F662" i="16" s="1"/>
  <c r="E663" i="16"/>
  <c r="F663" i="16" s="1"/>
  <c r="E664" i="16"/>
  <c r="F664" i="16" s="1"/>
  <c r="E665" i="16"/>
  <c r="F665" i="16" s="1"/>
  <c r="E666" i="16"/>
  <c r="F666" i="16" s="1"/>
  <c r="E667" i="16"/>
  <c r="F667" i="16" s="1"/>
  <c r="E668" i="16"/>
  <c r="F668" i="16" s="1"/>
  <c r="E669" i="16"/>
  <c r="F669" i="16" s="1"/>
  <c r="E670" i="16"/>
  <c r="F670" i="16" s="1"/>
  <c r="E671" i="16"/>
  <c r="F671" i="16" s="1"/>
  <c r="E672" i="16"/>
  <c r="F672" i="16" s="1"/>
  <c r="E673" i="16"/>
  <c r="F673" i="16" s="1"/>
  <c r="E674" i="16"/>
  <c r="F674" i="16" s="1"/>
  <c r="E675" i="16"/>
  <c r="F675" i="16" s="1"/>
  <c r="E676" i="16"/>
  <c r="F676" i="16" s="1"/>
  <c r="E677" i="16"/>
  <c r="F677" i="16" s="1"/>
  <c r="E678" i="16"/>
  <c r="F678" i="16" s="1"/>
  <c r="E679" i="16"/>
  <c r="F679" i="16" s="1"/>
  <c r="E680" i="16"/>
  <c r="F680" i="16" s="1"/>
  <c r="E681" i="16"/>
  <c r="F681" i="16" s="1"/>
  <c r="E682" i="16"/>
  <c r="F682" i="16" s="1"/>
  <c r="E683" i="16"/>
  <c r="F683" i="16" s="1"/>
  <c r="E684" i="16"/>
  <c r="F684" i="16" s="1"/>
  <c r="E685" i="16"/>
  <c r="F685" i="16" s="1"/>
  <c r="E686" i="16"/>
  <c r="F686" i="16" s="1"/>
  <c r="E687" i="16"/>
  <c r="F687" i="16" s="1"/>
  <c r="E688" i="16"/>
  <c r="F688" i="16" s="1"/>
  <c r="E689" i="16"/>
  <c r="F689" i="16" s="1"/>
  <c r="E690" i="16"/>
  <c r="F690" i="16" s="1"/>
  <c r="E691" i="16"/>
  <c r="F691" i="16" s="1"/>
  <c r="E692" i="16"/>
  <c r="F692" i="16" s="1"/>
  <c r="E693" i="16"/>
  <c r="F693" i="16" s="1"/>
  <c r="E694" i="16"/>
  <c r="F694" i="16" s="1"/>
  <c r="E695" i="16"/>
  <c r="F695" i="16" s="1"/>
  <c r="E696" i="16"/>
  <c r="F696" i="16" s="1"/>
  <c r="E697" i="16"/>
  <c r="F697" i="16" s="1"/>
  <c r="E698" i="16"/>
  <c r="F698" i="16" s="1"/>
  <c r="E699" i="16"/>
  <c r="F699" i="16" s="1"/>
  <c r="E700" i="16"/>
  <c r="F700" i="16" s="1"/>
  <c r="E701" i="16"/>
  <c r="F701" i="16" s="1"/>
  <c r="E702" i="16"/>
  <c r="F702" i="16" s="1"/>
  <c r="E703" i="16"/>
  <c r="F703" i="16" s="1"/>
  <c r="E704" i="16"/>
  <c r="F704" i="16" s="1"/>
  <c r="E705" i="16"/>
  <c r="F705" i="16" s="1"/>
  <c r="E706" i="16"/>
  <c r="F706" i="16" s="1"/>
  <c r="E707" i="16"/>
  <c r="F707" i="16" s="1"/>
  <c r="E708" i="16"/>
  <c r="F708" i="16" s="1"/>
  <c r="E709" i="16"/>
  <c r="F709" i="16" s="1"/>
  <c r="E710" i="16"/>
  <c r="F710" i="16" s="1"/>
  <c r="E711" i="16"/>
  <c r="F711" i="16" s="1"/>
  <c r="E712" i="16"/>
  <c r="F712" i="16" s="1"/>
  <c r="E713" i="16"/>
  <c r="F713" i="16" s="1"/>
  <c r="E714" i="16"/>
  <c r="F714" i="16" s="1"/>
  <c r="E715" i="16"/>
  <c r="F715" i="16" s="1"/>
  <c r="E716" i="16"/>
  <c r="F716" i="16" s="1"/>
  <c r="E717" i="16"/>
  <c r="F717" i="16" s="1"/>
  <c r="E718" i="16"/>
  <c r="F718" i="16" s="1"/>
  <c r="E719" i="16"/>
  <c r="F719" i="16" s="1"/>
  <c r="E720" i="16"/>
  <c r="F720" i="16" s="1"/>
  <c r="E721" i="16"/>
  <c r="F721" i="16" s="1"/>
  <c r="E722" i="16"/>
  <c r="F722" i="16" s="1"/>
  <c r="E723" i="16"/>
  <c r="F723" i="16" s="1"/>
  <c r="E724" i="16"/>
  <c r="F724" i="16" s="1"/>
  <c r="E725" i="16"/>
  <c r="F725" i="16" s="1"/>
  <c r="E726" i="16"/>
  <c r="F726" i="16" s="1"/>
  <c r="E727" i="16"/>
  <c r="F727" i="16" s="1"/>
  <c r="E728" i="16"/>
  <c r="F728" i="16" s="1"/>
  <c r="E729" i="16"/>
  <c r="F729" i="16" s="1"/>
  <c r="E730" i="16"/>
  <c r="F730" i="16" s="1"/>
  <c r="E731" i="16"/>
  <c r="F731" i="16" s="1"/>
  <c r="E732" i="16"/>
  <c r="F732" i="16" s="1"/>
  <c r="E733" i="16"/>
  <c r="F733" i="16" s="1"/>
  <c r="E734" i="16"/>
  <c r="F734" i="16" s="1"/>
  <c r="E735" i="16"/>
  <c r="F735" i="16" s="1"/>
  <c r="E736" i="16"/>
  <c r="F736" i="16" s="1"/>
  <c r="E737" i="16"/>
  <c r="F737" i="16" s="1"/>
  <c r="E738" i="16"/>
  <c r="F738" i="16" s="1"/>
  <c r="E739" i="16"/>
  <c r="F739" i="16" s="1"/>
  <c r="E740" i="16"/>
  <c r="F740" i="16" s="1"/>
  <c r="E741" i="16"/>
  <c r="F741" i="16" s="1"/>
  <c r="E742" i="16"/>
  <c r="F742" i="16" s="1"/>
  <c r="E743" i="16"/>
  <c r="F743" i="16" s="1"/>
  <c r="E744" i="16"/>
  <c r="F744" i="16" s="1"/>
  <c r="E745" i="16"/>
  <c r="F745" i="16" s="1"/>
  <c r="E746" i="16"/>
  <c r="F746" i="16" s="1"/>
  <c r="E747" i="16"/>
  <c r="F747" i="16" s="1"/>
  <c r="E748" i="16"/>
  <c r="F748" i="16" s="1"/>
  <c r="E749" i="16"/>
  <c r="F749" i="16" s="1"/>
  <c r="E750" i="16"/>
  <c r="F750" i="16" s="1"/>
  <c r="E751" i="16"/>
  <c r="F751" i="16" s="1"/>
  <c r="E752" i="16"/>
  <c r="F752" i="16" s="1"/>
  <c r="E753" i="16"/>
  <c r="F753" i="16" s="1"/>
  <c r="E754" i="16"/>
  <c r="F754" i="16" s="1"/>
  <c r="E755" i="16"/>
  <c r="F755" i="16" s="1"/>
  <c r="E756" i="16"/>
  <c r="F756" i="16" s="1"/>
  <c r="E757" i="16"/>
  <c r="F757" i="16" s="1"/>
  <c r="E758" i="16"/>
  <c r="F758" i="16" s="1"/>
  <c r="E759" i="16"/>
  <c r="F759" i="16" s="1"/>
  <c r="E760" i="16"/>
  <c r="F760" i="16" s="1"/>
  <c r="E761" i="16"/>
  <c r="F761" i="16" s="1"/>
  <c r="E762" i="16"/>
  <c r="F762" i="16" s="1"/>
  <c r="E763" i="16"/>
  <c r="F763" i="16" s="1"/>
  <c r="E764" i="16"/>
  <c r="F764" i="16" s="1"/>
  <c r="E765" i="16"/>
  <c r="F765" i="16" s="1"/>
  <c r="E766" i="16"/>
  <c r="F766" i="16" s="1"/>
  <c r="E767" i="16"/>
  <c r="F767" i="16" s="1"/>
  <c r="E768" i="16"/>
  <c r="F768" i="16" s="1"/>
  <c r="E769" i="16"/>
  <c r="F769" i="16" s="1"/>
  <c r="E770" i="16"/>
  <c r="F770" i="16" s="1"/>
  <c r="E771" i="16"/>
  <c r="F771" i="16" s="1"/>
  <c r="E772" i="16"/>
  <c r="F772" i="16" s="1"/>
  <c r="E773" i="16"/>
  <c r="F773" i="16" s="1"/>
  <c r="E774" i="16"/>
  <c r="F774" i="16" s="1"/>
  <c r="E775" i="16"/>
  <c r="F775" i="16" s="1"/>
  <c r="E776" i="16"/>
  <c r="F776" i="16" s="1"/>
  <c r="E777" i="16"/>
  <c r="F777" i="16" s="1"/>
  <c r="E778" i="16"/>
  <c r="F778" i="16" s="1"/>
  <c r="E779" i="16"/>
  <c r="F779" i="16" s="1"/>
  <c r="E780" i="16"/>
  <c r="F780" i="16" s="1"/>
  <c r="E781" i="16"/>
  <c r="F781" i="16" s="1"/>
  <c r="E782" i="16"/>
  <c r="F782" i="16" s="1"/>
  <c r="E783" i="16"/>
  <c r="F783" i="16" s="1"/>
  <c r="E784" i="16"/>
  <c r="F784" i="16" s="1"/>
  <c r="E785" i="16"/>
  <c r="F785" i="16" s="1"/>
  <c r="E786" i="16"/>
  <c r="F786" i="16" s="1"/>
  <c r="E787" i="16"/>
  <c r="F787" i="16" s="1"/>
  <c r="E788" i="16"/>
  <c r="F788" i="16" s="1"/>
  <c r="E789" i="16"/>
  <c r="F789" i="16" s="1"/>
  <c r="E790" i="16"/>
  <c r="F790" i="16" s="1"/>
  <c r="E791" i="16"/>
  <c r="F791" i="16" s="1"/>
  <c r="E792" i="16"/>
  <c r="F792" i="16" s="1"/>
  <c r="E793" i="16"/>
  <c r="F793" i="16" s="1"/>
  <c r="E794" i="16"/>
  <c r="F794" i="16" s="1"/>
  <c r="E795" i="16"/>
  <c r="F795" i="16" s="1"/>
  <c r="E796" i="16"/>
  <c r="F796" i="16" s="1"/>
  <c r="E797" i="16"/>
  <c r="F797" i="16" s="1"/>
  <c r="E798" i="16"/>
  <c r="F798" i="16" s="1"/>
  <c r="E799" i="16"/>
  <c r="F799" i="16" s="1"/>
  <c r="E800" i="16"/>
  <c r="F800" i="16" s="1"/>
  <c r="E801" i="16"/>
  <c r="F801" i="16" s="1"/>
  <c r="E802" i="16"/>
  <c r="F802" i="16" s="1"/>
  <c r="E803" i="16"/>
  <c r="F803" i="16" s="1"/>
  <c r="E804" i="16"/>
  <c r="F804" i="16" s="1"/>
  <c r="E805" i="16"/>
  <c r="F805" i="16" s="1"/>
  <c r="E806" i="16"/>
  <c r="F806" i="16" s="1"/>
  <c r="E807" i="16"/>
  <c r="F807" i="16" s="1"/>
  <c r="E808" i="16"/>
  <c r="F808" i="16" s="1"/>
  <c r="E809" i="16"/>
  <c r="F809" i="16" s="1"/>
  <c r="E810" i="16"/>
  <c r="F810" i="16" s="1"/>
  <c r="E811" i="16"/>
  <c r="F811" i="16" s="1"/>
  <c r="E812" i="16"/>
  <c r="F812" i="16" s="1"/>
  <c r="E813" i="16"/>
  <c r="F813" i="16" s="1"/>
  <c r="E814" i="16"/>
  <c r="F814" i="16" s="1"/>
  <c r="E815" i="16"/>
  <c r="F815" i="16" s="1"/>
  <c r="E816" i="16"/>
  <c r="F816" i="16" s="1"/>
  <c r="E817" i="16"/>
  <c r="F817" i="16" s="1"/>
  <c r="E818" i="16"/>
  <c r="F818" i="16" s="1"/>
  <c r="E819" i="16"/>
  <c r="F819" i="16" s="1"/>
  <c r="E820" i="16"/>
  <c r="F820" i="16" s="1"/>
  <c r="E821" i="16"/>
  <c r="F821" i="16" s="1"/>
  <c r="E822" i="16"/>
  <c r="F822" i="16" s="1"/>
  <c r="E823" i="16"/>
  <c r="F823" i="16" s="1"/>
  <c r="E824" i="16"/>
  <c r="F824" i="16" s="1"/>
  <c r="E825" i="16"/>
  <c r="F825" i="16" s="1"/>
  <c r="E826" i="16"/>
  <c r="F826" i="16" s="1"/>
  <c r="E827" i="16"/>
  <c r="F827" i="16" s="1"/>
  <c r="E828" i="16"/>
  <c r="F828" i="16" s="1"/>
  <c r="E829" i="16"/>
  <c r="F829" i="16" s="1"/>
  <c r="E830" i="16"/>
  <c r="F830" i="16" s="1"/>
  <c r="E831" i="16"/>
  <c r="F831" i="16" s="1"/>
  <c r="E832" i="16"/>
  <c r="F832" i="16" s="1"/>
  <c r="E833" i="16"/>
  <c r="F833" i="16" s="1"/>
  <c r="E834" i="16"/>
  <c r="F834" i="16" s="1"/>
  <c r="E835" i="16"/>
  <c r="F835" i="16" s="1"/>
  <c r="E836" i="16"/>
  <c r="F836" i="16" s="1"/>
  <c r="E837" i="16"/>
  <c r="F837" i="16" s="1"/>
  <c r="E838" i="16"/>
  <c r="F838" i="16" s="1"/>
  <c r="E839" i="16"/>
  <c r="F839" i="16" s="1"/>
  <c r="E840" i="16"/>
  <c r="F840" i="16" s="1"/>
  <c r="E841" i="16"/>
  <c r="F841" i="16" s="1"/>
  <c r="E842" i="16"/>
  <c r="F842" i="16" s="1"/>
  <c r="E843" i="16"/>
  <c r="F843" i="16" s="1"/>
  <c r="E844" i="16"/>
  <c r="F844" i="16" s="1"/>
  <c r="E845" i="16"/>
  <c r="F845" i="16" s="1"/>
  <c r="E846" i="16"/>
  <c r="F846" i="16" s="1"/>
  <c r="E847" i="16"/>
  <c r="F847" i="16" s="1"/>
  <c r="E848" i="16"/>
  <c r="F848" i="16" s="1"/>
  <c r="E849" i="16"/>
  <c r="F849" i="16" s="1"/>
  <c r="E850" i="16"/>
  <c r="F850" i="16" s="1"/>
  <c r="E851" i="16"/>
  <c r="F851" i="16" s="1"/>
  <c r="E852" i="16"/>
  <c r="F852" i="16" s="1"/>
  <c r="E853" i="16"/>
  <c r="F853" i="16" s="1"/>
  <c r="E854" i="16"/>
  <c r="F854" i="16" s="1"/>
  <c r="E855" i="16"/>
  <c r="F855" i="16" s="1"/>
  <c r="E856" i="16"/>
  <c r="F856" i="16" s="1"/>
  <c r="E857" i="16"/>
  <c r="F857" i="16" s="1"/>
  <c r="E858" i="16"/>
  <c r="F858" i="16" s="1"/>
  <c r="E859" i="16"/>
  <c r="F859" i="16" s="1"/>
  <c r="E860" i="16"/>
  <c r="F860" i="16" s="1"/>
  <c r="E861" i="16"/>
  <c r="F861" i="16" s="1"/>
  <c r="E862" i="16"/>
  <c r="F862" i="16" s="1"/>
  <c r="E863" i="16"/>
  <c r="F863" i="16" s="1"/>
  <c r="E864" i="16"/>
  <c r="F864" i="16" s="1"/>
  <c r="E865" i="16"/>
  <c r="F865" i="16" s="1"/>
  <c r="E866" i="16"/>
  <c r="F866" i="16" s="1"/>
  <c r="E867" i="16"/>
  <c r="F867" i="16" s="1"/>
  <c r="E868" i="16"/>
  <c r="F868" i="16" s="1"/>
  <c r="E869" i="16"/>
  <c r="F869" i="16" s="1"/>
  <c r="E870" i="16"/>
  <c r="F870" i="16" s="1"/>
  <c r="E871" i="16"/>
  <c r="F871" i="16" s="1"/>
  <c r="E872" i="16"/>
  <c r="F872" i="16" s="1"/>
  <c r="E873" i="16"/>
  <c r="F873" i="16" s="1"/>
  <c r="E874" i="16"/>
  <c r="F874" i="16" s="1"/>
  <c r="E875" i="16"/>
  <c r="F875" i="16" s="1"/>
  <c r="E876" i="16"/>
  <c r="F876" i="16" s="1"/>
  <c r="E877" i="16"/>
  <c r="F877" i="16" s="1"/>
  <c r="E878" i="16"/>
  <c r="F878" i="16" s="1"/>
  <c r="E879" i="16"/>
  <c r="F879" i="16" s="1"/>
  <c r="E880" i="16"/>
  <c r="F880" i="16" s="1"/>
  <c r="E881" i="16"/>
  <c r="F881" i="16" s="1"/>
  <c r="E882" i="16"/>
  <c r="F882" i="16" s="1"/>
  <c r="E883" i="16"/>
  <c r="F883" i="16" s="1"/>
  <c r="E884" i="16"/>
  <c r="F884" i="16" s="1"/>
  <c r="E885" i="16"/>
  <c r="F885" i="16" s="1"/>
  <c r="E886" i="16"/>
  <c r="F886" i="16" s="1"/>
  <c r="E887" i="16"/>
  <c r="F887" i="16" s="1"/>
  <c r="E888" i="16"/>
  <c r="F888" i="16" s="1"/>
  <c r="E889" i="16"/>
  <c r="F889" i="16" s="1"/>
  <c r="E890" i="16"/>
  <c r="F890" i="16" s="1"/>
  <c r="E891" i="16"/>
  <c r="F891" i="16" s="1"/>
  <c r="E892" i="16"/>
  <c r="F892" i="16" s="1"/>
  <c r="E893" i="16"/>
  <c r="F893" i="16" s="1"/>
  <c r="E894" i="16"/>
  <c r="F894" i="16" s="1"/>
  <c r="E895" i="16"/>
  <c r="F895" i="16" s="1"/>
  <c r="E896" i="16"/>
  <c r="F896" i="16" s="1"/>
  <c r="E897" i="16"/>
  <c r="F897" i="16" s="1"/>
  <c r="E898" i="16"/>
  <c r="F898" i="16" s="1"/>
  <c r="E899" i="16"/>
  <c r="F899" i="16" s="1"/>
  <c r="E900" i="16"/>
  <c r="F900" i="16" s="1"/>
  <c r="E901" i="16"/>
  <c r="F901" i="16" s="1"/>
  <c r="E902" i="16"/>
  <c r="F902" i="16" s="1"/>
  <c r="E903" i="16"/>
  <c r="F903" i="16" s="1"/>
  <c r="E904" i="16"/>
  <c r="F904" i="16" s="1"/>
  <c r="E905" i="16"/>
  <c r="F905" i="16" s="1"/>
  <c r="E906" i="16"/>
  <c r="F906" i="16" s="1"/>
  <c r="E907" i="16"/>
  <c r="F907" i="16" s="1"/>
  <c r="E908" i="16"/>
  <c r="F908" i="16" s="1"/>
  <c r="E909" i="16"/>
  <c r="F909" i="16" s="1"/>
  <c r="E910" i="16"/>
  <c r="F910" i="16" s="1"/>
  <c r="E911" i="16"/>
  <c r="F911" i="16" s="1"/>
  <c r="E912" i="16"/>
  <c r="F912" i="16" s="1"/>
  <c r="E913" i="16"/>
  <c r="F913" i="16" s="1"/>
  <c r="E914" i="16"/>
  <c r="F914" i="16" s="1"/>
  <c r="E915" i="16"/>
  <c r="F915" i="16" s="1"/>
  <c r="E916" i="16"/>
  <c r="F916" i="16" s="1"/>
  <c r="E917" i="16"/>
  <c r="F917" i="16" s="1"/>
  <c r="E918" i="16"/>
  <c r="F918" i="16" s="1"/>
  <c r="E919" i="16"/>
  <c r="F919" i="16" s="1"/>
  <c r="E920" i="16"/>
  <c r="F920" i="16" s="1"/>
  <c r="E921" i="16"/>
  <c r="F921" i="16" s="1"/>
  <c r="E922" i="16"/>
  <c r="F922" i="16" s="1"/>
  <c r="E923" i="16"/>
  <c r="F923" i="16" s="1"/>
  <c r="E924" i="16"/>
  <c r="F924" i="16" s="1"/>
  <c r="E925" i="16"/>
  <c r="F925" i="16" s="1"/>
  <c r="E926" i="16"/>
  <c r="F926" i="16" s="1"/>
  <c r="E927" i="16"/>
  <c r="F927" i="16" s="1"/>
  <c r="E928" i="16"/>
  <c r="F928" i="16" s="1"/>
  <c r="E929" i="16"/>
  <c r="F929" i="16" s="1"/>
  <c r="E930" i="16"/>
  <c r="F930" i="16" s="1"/>
  <c r="E931" i="16"/>
  <c r="F931" i="16" s="1"/>
  <c r="E932" i="16"/>
  <c r="F932" i="16" s="1"/>
  <c r="E933" i="16"/>
  <c r="F933" i="16" s="1"/>
  <c r="E934" i="16"/>
  <c r="F934" i="16" s="1"/>
  <c r="E935" i="16"/>
  <c r="F935" i="16" s="1"/>
  <c r="E936" i="16"/>
  <c r="F936" i="16" s="1"/>
  <c r="E937" i="16"/>
  <c r="F937" i="16" s="1"/>
  <c r="E938" i="16"/>
  <c r="F938" i="16" s="1"/>
  <c r="E939" i="16"/>
  <c r="F939" i="16" s="1"/>
  <c r="E940" i="16"/>
  <c r="F940" i="16" s="1"/>
  <c r="E941" i="16"/>
  <c r="F941" i="16" s="1"/>
  <c r="E942" i="16"/>
  <c r="F942" i="16" s="1"/>
  <c r="E943" i="16"/>
  <c r="F943" i="16" s="1"/>
  <c r="E944" i="16"/>
  <c r="F944" i="16" s="1"/>
  <c r="E945" i="16"/>
  <c r="F945" i="16" s="1"/>
  <c r="E946" i="16"/>
  <c r="F946" i="16" s="1"/>
  <c r="E947" i="16"/>
  <c r="F947" i="16" s="1"/>
  <c r="E948" i="16"/>
  <c r="F948" i="16" s="1"/>
  <c r="E949" i="16"/>
  <c r="F949" i="16" s="1"/>
  <c r="E950" i="16"/>
  <c r="F950" i="16" s="1"/>
  <c r="E951" i="16"/>
  <c r="F951" i="16" s="1"/>
  <c r="E952" i="16"/>
  <c r="F952" i="16" s="1"/>
  <c r="E953" i="16"/>
  <c r="F953" i="16" s="1"/>
  <c r="E954" i="16"/>
  <c r="F954" i="16" s="1"/>
  <c r="E955" i="16"/>
  <c r="F955" i="16" s="1"/>
  <c r="E956" i="16"/>
  <c r="F956" i="16" s="1"/>
  <c r="E957" i="16"/>
  <c r="F957" i="16" s="1"/>
  <c r="E958" i="16"/>
  <c r="F958" i="16" s="1"/>
  <c r="E959" i="16"/>
  <c r="F959" i="16" s="1"/>
  <c r="E960" i="16"/>
  <c r="F960" i="16" s="1"/>
  <c r="E961" i="16"/>
  <c r="F961" i="16" s="1"/>
  <c r="E962" i="16"/>
  <c r="F962" i="16" s="1"/>
  <c r="E963" i="16"/>
  <c r="F963" i="16" s="1"/>
  <c r="E964" i="16"/>
  <c r="F964" i="16" s="1"/>
  <c r="E965" i="16"/>
  <c r="F965" i="16" s="1"/>
  <c r="E966" i="16"/>
  <c r="F966" i="16" s="1"/>
  <c r="E967" i="16"/>
  <c r="F967" i="16" s="1"/>
  <c r="E968" i="16"/>
  <c r="F968" i="16" s="1"/>
  <c r="E969" i="16"/>
  <c r="F969" i="16" s="1"/>
  <c r="E970" i="16"/>
  <c r="F970" i="16" s="1"/>
  <c r="E971" i="16"/>
  <c r="F971" i="16" s="1"/>
  <c r="E972" i="16"/>
  <c r="F972" i="16" s="1"/>
  <c r="E973" i="16"/>
  <c r="F973" i="16" s="1"/>
  <c r="E974" i="16"/>
  <c r="F974" i="16" s="1"/>
  <c r="E975" i="16"/>
  <c r="F975" i="16" s="1"/>
  <c r="E976" i="16"/>
  <c r="F976" i="16" s="1"/>
  <c r="E977" i="16"/>
  <c r="F977" i="16" s="1"/>
  <c r="E978" i="16"/>
  <c r="F978" i="16" s="1"/>
  <c r="E979" i="16"/>
  <c r="F979" i="16" s="1"/>
  <c r="E980" i="16"/>
  <c r="F980" i="16" s="1"/>
  <c r="E981" i="16"/>
  <c r="F981" i="16" s="1"/>
  <c r="E982" i="16"/>
  <c r="F982" i="16" s="1"/>
  <c r="E983" i="16"/>
  <c r="F983" i="16" s="1"/>
  <c r="E984" i="16"/>
  <c r="F984" i="16" s="1"/>
  <c r="E985" i="16"/>
  <c r="F985" i="16" s="1"/>
  <c r="E986" i="16"/>
  <c r="F986" i="16" s="1"/>
  <c r="E987" i="16"/>
  <c r="F987" i="16" s="1"/>
  <c r="E988" i="16"/>
  <c r="F988" i="16" s="1"/>
  <c r="E989" i="16"/>
  <c r="F989" i="16" s="1"/>
  <c r="E990" i="16"/>
  <c r="F990" i="16" s="1"/>
  <c r="E991" i="16"/>
  <c r="F991" i="16" s="1"/>
  <c r="E992" i="16"/>
  <c r="F992" i="16" s="1"/>
  <c r="E993" i="16"/>
  <c r="F993" i="16" s="1"/>
  <c r="E994" i="16"/>
  <c r="F994" i="16" s="1"/>
  <c r="E995" i="16"/>
  <c r="F995" i="16" s="1"/>
  <c r="E996" i="16"/>
  <c r="F996" i="16" s="1"/>
  <c r="E997" i="16"/>
  <c r="F997" i="16" s="1"/>
  <c r="E998" i="16"/>
  <c r="F998" i="16" s="1"/>
  <c r="E999" i="16"/>
  <c r="F999" i="16" s="1"/>
  <c r="E1000" i="16"/>
  <c r="F1000" i="16" s="1"/>
  <c r="E1001" i="16"/>
  <c r="F1001" i="16" s="1"/>
  <c r="E1002" i="16"/>
  <c r="F1002" i="16" s="1"/>
  <c r="E1003" i="16"/>
  <c r="F1003" i="16" s="1"/>
  <c r="E1004" i="16"/>
  <c r="F1004" i="16" s="1"/>
  <c r="E1005" i="16"/>
  <c r="F1005" i="16" s="1"/>
  <c r="E1006" i="16"/>
  <c r="F1006" i="16" s="1"/>
  <c r="E1007" i="16"/>
  <c r="F1007" i="16" s="1"/>
  <c r="E1008" i="16"/>
  <c r="F1008" i="16" s="1"/>
  <c r="E1009" i="16"/>
  <c r="F1009" i="16" s="1"/>
  <c r="E1010" i="16"/>
  <c r="F1010" i="16" s="1"/>
  <c r="E1011" i="16"/>
  <c r="F1011" i="16" s="1"/>
  <c r="E1012" i="16"/>
  <c r="F1012" i="16" s="1"/>
  <c r="E1013" i="16"/>
  <c r="F1013" i="16" s="1"/>
  <c r="E1014" i="16"/>
  <c r="F1014" i="16" s="1"/>
  <c r="E1015" i="16"/>
  <c r="F1015" i="16" s="1"/>
  <c r="E1016" i="16"/>
  <c r="F1016" i="16" s="1"/>
  <c r="E1017" i="16"/>
  <c r="F1017" i="16" s="1"/>
  <c r="E1018" i="16"/>
  <c r="F1018" i="16" s="1"/>
  <c r="E1019" i="16"/>
  <c r="F1019" i="16" s="1"/>
  <c r="E1020" i="16"/>
  <c r="F1020" i="16" s="1"/>
  <c r="E1021" i="16"/>
  <c r="F1021" i="16" s="1"/>
  <c r="E1022" i="16"/>
  <c r="F1022" i="16" s="1"/>
  <c r="E1023" i="16"/>
  <c r="F1023" i="16" s="1"/>
  <c r="E1024" i="16"/>
  <c r="F1024" i="16" s="1"/>
  <c r="E1025" i="16"/>
  <c r="F1025" i="16" s="1"/>
  <c r="E1026" i="16"/>
  <c r="F1026" i="16" s="1"/>
  <c r="E1027" i="16"/>
  <c r="F1027" i="16" s="1"/>
  <c r="E1028" i="16"/>
  <c r="F1028" i="16" s="1"/>
  <c r="E1029" i="16"/>
  <c r="F1029" i="16" s="1"/>
  <c r="E1030" i="16"/>
  <c r="F1030" i="16" s="1"/>
  <c r="E1031" i="16"/>
  <c r="F1031" i="16" s="1"/>
  <c r="E1032" i="16"/>
  <c r="F1032" i="16" s="1"/>
  <c r="E1033" i="16"/>
  <c r="F1033" i="16" s="1"/>
  <c r="E1034" i="16"/>
  <c r="F1034" i="16" s="1"/>
  <c r="E1035" i="16"/>
  <c r="F1035" i="16" s="1"/>
  <c r="E1036" i="16"/>
  <c r="F1036" i="16" s="1"/>
  <c r="E1037" i="16"/>
  <c r="F1037" i="16" s="1"/>
  <c r="E1038" i="16"/>
  <c r="F1038" i="16" s="1"/>
  <c r="E1039" i="16"/>
  <c r="F1039" i="16" s="1"/>
  <c r="E1040" i="16"/>
  <c r="F1040" i="16" s="1"/>
  <c r="E1041" i="16"/>
  <c r="F1041" i="16" s="1"/>
  <c r="E1042" i="16"/>
  <c r="F1042" i="16" s="1"/>
  <c r="E1043" i="16"/>
  <c r="F1043" i="16" s="1"/>
  <c r="E1044" i="16"/>
  <c r="F1044" i="16" s="1"/>
  <c r="E1045" i="16"/>
  <c r="F1045" i="16" s="1"/>
  <c r="E1046" i="16"/>
  <c r="F1046" i="16" s="1"/>
  <c r="E1047" i="16"/>
  <c r="F1047" i="16" s="1"/>
  <c r="E1048" i="16"/>
  <c r="F1048" i="16" s="1"/>
  <c r="E1049" i="16"/>
  <c r="F1049" i="16" s="1"/>
  <c r="E1050" i="16"/>
  <c r="F1050" i="16" s="1"/>
  <c r="E1051" i="16"/>
  <c r="F1051" i="16" s="1"/>
  <c r="E1052" i="16"/>
  <c r="F1052" i="16" s="1"/>
  <c r="E1053" i="16"/>
  <c r="F1053" i="16" s="1"/>
  <c r="E1054" i="16"/>
  <c r="F1054" i="16" s="1"/>
  <c r="E1055" i="16"/>
  <c r="F1055" i="16" s="1"/>
  <c r="E1056" i="16"/>
  <c r="F1056" i="16" s="1"/>
  <c r="E1057" i="16"/>
  <c r="F1057" i="16" s="1"/>
  <c r="E1058" i="16"/>
  <c r="F1058" i="16" s="1"/>
  <c r="E1059" i="16"/>
  <c r="F1059" i="16" s="1"/>
  <c r="E1060" i="16"/>
  <c r="F1060" i="16" s="1"/>
  <c r="E1061" i="16"/>
  <c r="F1061" i="16" s="1"/>
  <c r="E1062" i="16"/>
  <c r="F1062" i="16" s="1"/>
  <c r="E1063" i="16"/>
  <c r="F1063" i="16" s="1"/>
  <c r="E1064" i="16"/>
  <c r="F1064" i="16" s="1"/>
  <c r="E1065" i="16"/>
  <c r="F1065" i="16" s="1"/>
  <c r="E1066" i="16"/>
  <c r="F1066" i="16" s="1"/>
  <c r="E1067" i="16"/>
  <c r="F1067" i="16" s="1"/>
  <c r="E1068" i="16"/>
  <c r="F1068" i="16" s="1"/>
  <c r="E1069" i="16"/>
  <c r="F1069" i="16" s="1"/>
  <c r="E1070" i="16"/>
  <c r="F1070" i="16" s="1"/>
  <c r="E1071" i="16"/>
  <c r="F1071" i="16" s="1"/>
  <c r="E1072" i="16"/>
  <c r="F1072" i="16" s="1"/>
  <c r="E1073" i="16"/>
  <c r="F1073" i="16" s="1"/>
  <c r="E1074" i="16"/>
  <c r="F1074" i="16" s="1"/>
  <c r="E1075" i="16"/>
  <c r="F1075" i="16" s="1"/>
  <c r="E1076" i="16"/>
  <c r="F1076" i="16" s="1"/>
  <c r="E1077" i="16"/>
  <c r="F1077" i="16" s="1"/>
  <c r="E1078" i="16"/>
  <c r="F1078" i="16" s="1"/>
  <c r="E1079" i="16"/>
  <c r="F1079" i="16" s="1"/>
  <c r="E1080" i="16"/>
  <c r="F1080" i="16" s="1"/>
  <c r="E1081" i="16"/>
  <c r="F1081" i="16" s="1"/>
  <c r="E1082" i="16"/>
  <c r="F1082" i="16" s="1"/>
  <c r="E1083" i="16"/>
  <c r="F1083" i="16" s="1"/>
  <c r="E1084" i="16"/>
  <c r="F1084" i="16" s="1"/>
  <c r="E1085" i="16"/>
  <c r="F1085" i="16" s="1"/>
  <c r="E1086" i="16"/>
  <c r="F1086" i="16" s="1"/>
  <c r="E1087" i="16"/>
  <c r="F1087" i="16" s="1"/>
  <c r="E1088" i="16"/>
  <c r="F1088" i="16" s="1"/>
  <c r="E1089" i="16"/>
  <c r="F1089" i="16" s="1"/>
  <c r="E1090" i="16"/>
  <c r="F1090" i="16" s="1"/>
  <c r="E1091" i="16"/>
  <c r="F1091" i="16" s="1"/>
  <c r="E1092" i="16"/>
  <c r="F1092" i="16" s="1"/>
  <c r="E1093" i="16"/>
  <c r="F1093" i="16" s="1"/>
  <c r="E1094" i="16"/>
  <c r="F1094" i="16" s="1"/>
  <c r="E1095" i="16"/>
  <c r="F1095" i="16" s="1"/>
  <c r="E1096" i="16"/>
  <c r="F1096" i="16" s="1"/>
  <c r="E1097" i="16"/>
  <c r="F1097" i="16" s="1"/>
  <c r="E1098" i="16"/>
  <c r="F1098" i="16" s="1"/>
  <c r="E1099" i="16"/>
  <c r="F1099" i="16" s="1"/>
  <c r="E1100" i="16"/>
  <c r="F1100" i="16" s="1"/>
  <c r="E1101" i="16"/>
  <c r="F1101" i="16" s="1"/>
  <c r="E1102" i="16"/>
  <c r="F1102" i="16" s="1"/>
  <c r="E1103" i="16"/>
  <c r="F1103" i="16" s="1"/>
  <c r="E1104" i="16"/>
  <c r="F1104" i="16" s="1"/>
  <c r="E1105" i="16"/>
  <c r="F1105" i="16" s="1"/>
  <c r="E1106" i="16"/>
  <c r="F1106" i="16" s="1"/>
  <c r="E1107" i="16"/>
  <c r="F1107" i="16" s="1"/>
  <c r="E1108" i="16"/>
  <c r="F1108" i="16" s="1"/>
  <c r="E1109" i="16"/>
  <c r="F1109" i="16" s="1"/>
  <c r="E1110" i="16"/>
  <c r="F1110" i="16" s="1"/>
  <c r="E1111" i="16"/>
  <c r="F1111" i="16" s="1"/>
  <c r="E1112" i="16"/>
  <c r="F1112" i="16" s="1"/>
  <c r="E1113" i="16"/>
  <c r="F1113" i="16" s="1"/>
  <c r="E1114" i="16"/>
  <c r="F1114" i="16" s="1"/>
  <c r="E1115" i="16"/>
  <c r="F1115" i="16" s="1"/>
  <c r="E1116" i="16"/>
  <c r="F1116" i="16" s="1"/>
  <c r="E1117" i="16"/>
  <c r="F1117" i="16" s="1"/>
  <c r="E1118" i="16"/>
  <c r="F1118" i="16" s="1"/>
  <c r="E1119" i="16"/>
  <c r="F1119" i="16" s="1"/>
  <c r="E1120" i="16"/>
  <c r="F1120" i="16" s="1"/>
  <c r="E1121" i="16"/>
  <c r="F1121" i="16" s="1"/>
  <c r="E1122" i="16"/>
  <c r="F1122" i="16" s="1"/>
  <c r="E1123" i="16"/>
  <c r="F1123" i="16" s="1"/>
  <c r="E1124" i="16"/>
  <c r="F1124" i="16" s="1"/>
  <c r="E1125" i="16"/>
  <c r="F1125" i="16" s="1"/>
  <c r="E1126" i="16"/>
  <c r="F1126" i="16" s="1"/>
  <c r="E1127" i="16"/>
  <c r="F1127" i="16" s="1"/>
  <c r="E1128" i="16"/>
  <c r="F1128" i="16" s="1"/>
  <c r="E1129" i="16"/>
  <c r="F1129" i="16" s="1"/>
  <c r="E1130" i="16"/>
  <c r="F1130" i="16" s="1"/>
  <c r="E1131" i="16"/>
  <c r="F1131" i="16" s="1"/>
  <c r="E1132" i="16"/>
  <c r="F1132" i="16" s="1"/>
  <c r="E1133" i="16"/>
  <c r="F1133" i="16" s="1"/>
  <c r="E1134" i="16"/>
  <c r="F1134" i="16" s="1"/>
  <c r="E1135" i="16"/>
  <c r="F1135" i="16" s="1"/>
  <c r="E1136" i="16"/>
  <c r="F1136" i="16" s="1"/>
  <c r="E1137" i="16"/>
  <c r="F1137" i="16" s="1"/>
  <c r="E1138" i="16"/>
  <c r="F1138" i="16" s="1"/>
  <c r="E1139" i="16"/>
  <c r="F1139" i="16" s="1"/>
  <c r="E1140" i="16"/>
  <c r="F1140" i="16" s="1"/>
  <c r="E1141" i="16"/>
  <c r="F1141" i="16" s="1"/>
  <c r="E1142" i="16"/>
  <c r="F1142" i="16" s="1"/>
  <c r="E1143" i="16"/>
  <c r="F1143" i="16" s="1"/>
  <c r="E1144" i="16"/>
  <c r="F1144" i="16" s="1"/>
  <c r="E1145" i="16"/>
  <c r="F1145" i="16" s="1"/>
  <c r="E1146" i="16"/>
  <c r="F1146" i="16" s="1"/>
  <c r="E1147" i="16"/>
  <c r="F1147" i="16" s="1"/>
  <c r="E1148" i="16"/>
  <c r="F1148" i="16" s="1"/>
  <c r="E1149" i="16"/>
  <c r="F1149" i="16" s="1"/>
  <c r="E1150" i="16"/>
  <c r="F1150" i="16" s="1"/>
  <c r="E1151" i="16"/>
  <c r="F1151" i="16" s="1"/>
  <c r="E1152" i="16"/>
  <c r="F1152" i="16" s="1"/>
  <c r="E1153" i="16"/>
  <c r="F1153" i="16" s="1"/>
  <c r="E1154" i="16"/>
  <c r="F1154" i="16" s="1"/>
  <c r="E1155" i="16"/>
  <c r="F1155" i="16" s="1"/>
  <c r="E1156" i="16"/>
  <c r="F1156" i="16" s="1"/>
  <c r="E1157" i="16"/>
  <c r="F1157" i="16" s="1"/>
  <c r="E1158" i="16"/>
  <c r="F1158" i="16" s="1"/>
  <c r="E1159" i="16"/>
  <c r="F1159" i="16" s="1"/>
  <c r="E1160" i="16"/>
  <c r="F1160" i="16" s="1"/>
  <c r="E1161" i="16"/>
  <c r="F1161" i="16" s="1"/>
  <c r="E1162" i="16"/>
  <c r="F1162" i="16" s="1"/>
  <c r="E1163" i="16"/>
  <c r="F1163" i="16" s="1"/>
  <c r="E1164" i="16"/>
  <c r="F1164" i="16" s="1"/>
  <c r="E1165" i="16"/>
  <c r="F1165" i="16" s="1"/>
  <c r="E1166" i="16"/>
  <c r="F1166" i="16" s="1"/>
  <c r="E1167" i="16"/>
  <c r="F1167" i="16" s="1"/>
  <c r="E1168" i="16"/>
  <c r="F1168" i="16" s="1"/>
  <c r="E1169" i="16"/>
  <c r="F1169" i="16" s="1"/>
  <c r="E1170" i="16"/>
  <c r="F1170" i="16" s="1"/>
  <c r="E1171" i="16"/>
  <c r="F1171" i="16" s="1"/>
  <c r="E1172" i="16"/>
  <c r="F1172" i="16" s="1"/>
  <c r="E1173" i="16"/>
  <c r="F1173" i="16" s="1"/>
  <c r="E1174" i="16"/>
  <c r="F1174" i="16" s="1"/>
  <c r="E1175" i="16"/>
  <c r="F1175" i="16" s="1"/>
  <c r="E1176" i="16"/>
  <c r="F1176" i="16" s="1"/>
  <c r="E1177" i="16"/>
  <c r="F1177" i="16" s="1"/>
  <c r="E1178" i="16"/>
  <c r="F1178" i="16" s="1"/>
  <c r="E1179" i="16"/>
  <c r="F1179" i="16" s="1"/>
  <c r="E1180" i="16"/>
  <c r="F1180" i="16" s="1"/>
  <c r="E1181" i="16"/>
  <c r="F1181" i="16" s="1"/>
  <c r="E1182" i="16"/>
  <c r="F1182" i="16" s="1"/>
  <c r="E1183" i="16"/>
  <c r="F1183" i="16" s="1"/>
  <c r="E1184" i="16"/>
  <c r="F1184" i="16" s="1"/>
  <c r="E1185" i="16"/>
  <c r="F1185" i="16" s="1"/>
  <c r="E1186" i="16"/>
  <c r="F1186" i="16" s="1"/>
  <c r="E1187" i="16"/>
  <c r="F1187" i="16" s="1"/>
  <c r="E1188" i="16"/>
  <c r="F1188" i="16" s="1"/>
  <c r="E1189" i="16"/>
  <c r="F1189" i="16" s="1"/>
  <c r="E1190" i="16"/>
  <c r="F1190" i="16" s="1"/>
  <c r="E1191" i="16"/>
  <c r="F1191" i="16" s="1"/>
  <c r="E1192" i="16"/>
  <c r="F1192" i="16" s="1"/>
  <c r="E1193" i="16"/>
  <c r="F1193" i="16" s="1"/>
  <c r="E1194" i="16"/>
  <c r="F1194" i="16" s="1"/>
  <c r="E1195" i="16"/>
  <c r="F1195" i="16" s="1"/>
  <c r="E1196" i="16"/>
  <c r="F1196" i="16" s="1"/>
  <c r="E1197" i="16"/>
  <c r="F1197" i="16" s="1"/>
  <c r="E1198" i="16"/>
  <c r="F1198" i="16" s="1"/>
  <c r="E1199" i="16"/>
  <c r="F1199" i="16" s="1"/>
  <c r="E1200" i="16"/>
  <c r="F1200" i="16" s="1"/>
  <c r="E1201" i="16"/>
  <c r="F1201" i="16" s="1"/>
  <c r="E1202" i="16"/>
  <c r="F1202" i="16" s="1"/>
  <c r="E1203" i="16"/>
  <c r="F1203" i="16" s="1"/>
  <c r="E1204" i="16"/>
  <c r="F1204" i="16" s="1"/>
  <c r="E1205" i="16"/>
  <c r="F1205" i="16" s="1"/>
  <c r="E1206" i="16"/>
  <c r="F1206" i="16" s="1"/>
  <c r="E1207" i="16"/>
  <c r="F1207" i="16" s="1"/>
  <c r="E1208" i="16"/>
  <c r="F1208" i="16" s="1"/>
  <c r="E1209" i="16"/>
  <c r="F1209" i="16" s="1"/>
  <c r="E1210" i="16"/>
  <c r="F1210" i="16" s="1"/>
  <c r="E1211" i="16"/>
  <c r="F1211" i="16" s="1"/>
  <c r="E1212" i="16"/>
  <c r="F1212" i="16" s="1"/>
  <c r="E1213" i="16"/>
  <c r="F1213" i="16" s="1"/>
  <c r="E1214" i="16"/>
  <c r="F1214" i="16" s="1"/>
  <c r="E1215" i="16"/>
  <c r="F1215" i="16" s="1"/>
  <c r="E1216" i="16"/>
  <c r="F1216" i="16" s="1"/>
  <c r="E1217" i="16"/>
  <c r="F1217" i="16" s="1"/>
  <c r="E1218" i="16"/>
  <c r="F1218" i="16" s="1"/>
  <c r="E1219" i="16"/>
  <c r="F1219" i="16" s="1"/>
  <c r="E1220" i="16"/>
  <c r="F1220" i="16" s="1"/>
  <c r="E1221" i="16"/>
  <c r="F1221" i="16" s="1"/>
  <c r="E1222" i="16"/>
  <c r="F1222" i="16" s="1"/>
  <c r="E1223" i="16"/>
  <c r="F1223" i="16" s="1"/>
  <c r="E1224" i="16"/>
  <c r="F1224" i="16" s="1"/>
  <c r="E1225" i="16"/>
  <c r="F1225" i="16" s="1"/>
  <c r="E1226" i="16"/>
  <c r="F1226" i="16" s="1"/>
  <c r="E1227" i="16"/>
  <c r="F1227" i="16" s="1"/>
  <c r="E1228" i="16"/>
  <c r="F1228" i="16" s="1"/>
  <c r="E1229" i="16"/>
  <c r="F1229" i="16" s="1"/>
  <c r="E1230" i="16"/>
  <c r="F1230" i="16" s="1"/>
  <c r="E1231" i="16"/>
  <c r="F1231" i="16" s="1"/>
  <c r="E1232" i="16"/>
  <c r="F1232" i="16" s="1"/>
  <c r="E1233" i="16"/>
  <c r="F1233" i="16" s="1"/>
  <c r="E1234" i="16"/>
  <c r="F1234" i="16" s="1"/>
  <c r="E1235" i="16"/>
  <c r="F1235" i="16" s="1"/>
  <c r="E1236" i="16"/>
  <c r="F1236" i="16" s="1"/>
  <c r="E1237" i="16"/>
  <c r="F1237" i="16" s="1"/>
  <c r="E1238" i="16"/>
  <c r="F1238" i="16" s="1"/>
  <c r="E1239" i="16"/>
  <c r="F1239" i="16" s="1"/>
  <c r="E1240" i="16"/>
  <c r="F1240" i="16" s="1"/>
  <c r="E1241" i="16"/>
  <c r="F1241" i="16" s="1"/>
  <c r="E1242" i="16"/>
  <c r="F1242" i="16" s="1"/>
  <c r="E1243" i="16"/>
  <c r="F1243" i="16" s="1"/>
  <c r="E1244" i="16"/>
  <c r="F1244" i="16" s="1"/>
  <c r="E1245" i="16"/>
  <c r="F1245" i="16" s="1"/>
  <c r="E1246" i="16"/>
  <c r="F1246" i="16" s="1"/>
  <c r="E1247" i="16"/>
  <c r="F1247" i="16" s="1"/>
  <c r="E1248" i="16"/>
  <c r="F1248" i="16" s="1"/>
  <c r="E1249" i="16"/>
  <c r="F1249" i="16" s="1"/>
  <c r="E1250" i="16"/>
  <c r="F1250" i="16" s="1"/>
  <c r="E1251" i="16"/>
  <c r="F1251" i="16" s="1"/>
  <c r="E1252" i="16"/>
  <c r="F1252" i="16" s="1"/>
  <c r="E1253" i="16"/>
  <c r="F1253" i="16" s="1"/>
  <c r="E1254" i="16"/>
  <c r="F1254" i="16" s="1"/>
  <c r="E1255" i="16"/>
  <c r="F1255" i="16" s="1"/>
  <c r="E1256" i="16"/>
  <c r="F1256" i="16" s="1"/>
  <c r="E1257" i="16"/>
  <c r="F1257" i="16" s="1"/>
  <c r="E1258" i="16"/>
  <c r="F1258" i="16" s="1"/>
  <c r="E1259" i="16"/>
  <c r="F1259" i="16" s="1"/>
  <c r="E1260" i="16"/>
  <c r="F1260" i="16" s="1"/>
  <c r="E1261" i="16"/>
  <c r="F1261" i="16" s="1"/>
  <c r="E1262" i="16"/>
  <c r="F1262" i="16" s="1"/>
  <c r="E1263" i="16"/>
  <c r="F1263" i="16" s="1"/>
  <c r="E1264" i="16"/>
  <c r="F1264" i="16" s="1"/>
  <c r="E1265" i="16"/>
  <c r="F1265" i="16" s="1"/>
  <c r="E1266" i="16"/>
  <c r="F1266" i="16" s="1"/>
  <c r="E1267" i="16"/>
  <c r="F1267" i="16" s="1"/>
  <c r="E1268" i="16"/>
  <c r="F1268" i="16" s="1"/>
  <c r="E1269" i="16"/>
  <c r="F1269" i="16" s="1"/>
  <c r="E1270" i="16"/>
  <c r="F1270" i="16" s="1"/>
  <c r="E1271" i="16"/>
  <c r="F1271" i="16" s="1"/>
  <c r="E1272" i="16"/>
  <c r="F1272" i="16" s="1"/>
  <c r="E1273" i="16"/>
  <c r="F1273" i="16" s="1"/>
  <c r="E1274" i="16"/>
  <c r="F1274" i="16" s="1"/>
  <c r="E1275" i="16"/>
  <c r="F1275" i="16" s="1"/>
  <c r="E1276" i="16"/>
  <c r="F1276" i="16" s="1"/>
  <c r="E1277" i="16"/>
  <c r="F1277" i="16" s="1"/>
  <c r="E1278" i="16"/>
  <c r="F1278" i="16" s="1"/>
  <c r="E1279" i="16"/>
  <c r="F1279" i="16" s="1"/>
  <c r="E1280" i="16"/>
  <c r="F1280" i="16" s="1"/>
  <c r="E1281" i="16"/>
  <c r="F1281" i="16" s="1"/>
  <c r="E1282" i="16"/>
  <c r="F1282" i="16" s="1"/>
  <c r="E1283" i="16"/>
  <c r="F1283" i="16" s="1"/>
  <c r="E1284" i="16"/>
  <c r="F1284" i="16" s="1"/>
  <c r="E1285" i="16"/>
  <c r="F1285" i="16" s="1"/>
  <c r="E1286" i="16"/>
  <c r="F1286" i="16" s="1"/>
  <c r="E1287" i="16"/>
  <c r="F1287" i="16" s="1"/>
  <c r="E1288" i="16"/>
  <c r="F1288" i="16" s="1"/>
  <c r="E1289" i="16"/>
  <c r="F1289" i="16" s="1"/>
  <c r="E1290" i="16"/>
  <c r="F1290" i="16" s="1"/>
  <c r="E1291" i="16"/>
  <c r="F1291" i="16" s="1"/>
  <c r="E1292" i="16"/>
  <c r="F1292" i="16" s="1"/>
  <c r="E1293" i="16"/>
  <c r="F1293" i="16" s="1"/>
  <c r="E1294" i="16"/>
  <c r="F1294" i="16" s="1"/>
  <c r="E1295" i="16"/>
  <c r="F1295" i="16" s="1"/>
  <c r="E1296" i="16"/>
  <c r="F1296" i="16" s="1"/>
  <c r="E1297" i="16"/>
  <c r="F1297" i="16" s="1"/>
  <c r="E1298" i="16"/>
  <c r="F1298" i="16" s="1"/>
  <c r="E1299" i="16"/>
  <c r="F1299" i="16" s="1"/>
  <c r="E1300" i="16"/>
  <c r="F1300" i="16" s="1"/>
  <c r="E1301" i="16"/>
  <c r="F1301" i="16" s="1"/>
  <c r="E1302" i="16"/>
  <c r="F1302" i="16" s="1"/>
  <c r="E1303" i="16"/>
  <c r="F1303" i="16" s="1"/>
  <c r="E1304" i="16"/>
  <c r="F1304" i="16" s="1"/>
  <c r="E1305" i="16"/>
  <c r="F1305" i="16" s="1"/>
  <c r="E1306" i="16"/>
  <c r="F1306" i="16" s="1"/>
  <c r="E1307" i="16"/>
  <c r="F1307" i="16" s="1"/>
  <c r="E1308" i="16"/>
  <c r="F1308" i="16" s="1"/>
  <c r="E1309" i="16"/>
  <c r="F1309" i="16" s="1"/>
  <c r="E1310" i="16"/>
  <c r="F1310" i="16" s="1"/>
  <c r="E1311" i="16"/>
  <c r="F1311" i="16" s="1"/>
  <c r="E1312" i="16"/>
  <c r="F1312" i="16" s="1"/>
  <c r="E1313" i="16"/>
  <c r="F1313" i="16" s="1"/>
  <c r="E1314" i="16"/>
  <c r="F1314" i="16" s="1"/>
  <c r="E1315" i="16"/>
  <c r="F1315" i="16" s="1"/>
  <c r="E1316" i="16"/>
  <c r="F1316" i="16" s="1"/>
  <c r="E1317" i="16"/>
  <c r="F1317" i="16" s="1"/>
  <c r="E1318" i="16"/>
  <c r="F1318" i="16" s="1"/>
  <c r="E1319" i="16"/>
  <c r="F1319" i="16" s="1"/>
  <c r="E1320" i="16"/>
  <c r="F1320" i="16" s="1"/>
  <c r="E1321" i="16"/>
  <c r="F1321" i="16" s="1"/>
  <c r="E1322" i="16"/>
  <c r="F1322" i="16" s="1"/>
  <c r="E1323" i="16"/>
  <c r="F1323" i="16" s="1"/>
  <c r="E1324" i="16"/>
  <c r="F1324" i="16" s="1"/>
  <c r="E1325" i="16"/>
  <c r="F1325" i="16" s="1"/>
  <c r="E1326" i="16"/>
  <c r="F1326" i="16" s="1"/>
  <c r="E1327" i="16"/>
  <c r="F1327" i="16" s="1"/>
  <c r="E1328" i="16"/>
  <c r="F1328" i="16" s="1"/>
  <c r="E1329" i="16"/>
  <c r="F1329" i="16" s="1"/>
  <c r="E1330" i="16"/>
  <c r="F1330" i="16" s="1"/>
  <c r="E1331" i="16"/>
  <c r="F1331" i="16" s="1"/>
  <c r="E1332" i="16"/>
  <c r="F1332" i="16" s="1"/>
  <c r="E1333" i="16"/>
  <c r="F1333" i="16" s="1"/>
  <c r="E1334" i="16"/>
  <c r="F1334" i="16" s="1"/>
  <c r="E1335" i="16"/>
  <c r="F1335" i="16" s="1"/>
  <c r="E1336" i="16"/>
  <c r="F1336" i="16" s="1"/>
  <c r="E1337" i="16"/>
  <c r="F1337" i="16" s="1"/>
  <c r="E1338" i="16"/>
  <c r="F1338" i="16" s="1"/>
  <c r="E1339" i="16"/>
  <c r="F1339" i="16" s="1"/>
  <c r="E1340" i="16"/>
  <c r="F1340" i="16" s="1"/>
  <c r="E1341" i="16"/>
  <c r="F1341" i="16" s="1"/>
  <c r="E1342" i="16"/>
  <c r="F1342" i="16" s="1"/>
  <c r="E1343" i="16"/>
  <c r="F1343" i="16" s="1"/>
  <c r="E1344" i="16"/>
  <c r="F1344" i="16" s="1"/>
  <c r="E1345" i="16"/>
  <c r="F1345" i="16" s="1"/>
  <c r="E1346" i="16"/>
  <c r="F1346" i="16" s="1"/>
  <c r="E1347" i="16"/>
  <c r="F1347" i="16" s="1"/>
  <c r="E1348" i="16"/>
  <c r="F1348" i="16" s="1"/>
  <c r="E1349" i="16"/>
  <c r="F1349" i="16" s="1"/>
  <c r="E1350" i="16"/>
  <c r="F1350" i="16" s="1"/>
  <c r="E1351" i="16"/>
  <c r="F1351" i="16" s="1"/>
  <c r="E1352" i="16"/>
  <c r="F1352" i="16" s="1"/>
  <c r="E1353" i="16"/>
  <c r="F1353" i="16" s="1"/>
  <c r="E1354" i="16"/>
  <c r="F1354" i="16" s="1"/>
  <c r="E1355" i="16"/>
  <c r="F1355" i="16" s="1"/>
  <c r="E1356" i="16"/>
  <c r="F1356" i="16" s="1"/>
  <c r="E1357" i="16"/>
  <c r="F1357" i="16" s="1"/>
  <c r="E1358" i="16"/>
  <c r="F1358" i="16" s="1"/>
  <c r="E1359" i="16"/>
  <c r="F1359" i="16" s="1"/>
  <c r="E1360" i="16"/>
  <c r="F1360" i="16" s="1"/>
  <c r="E1361" i="16"/>
  <c r="F1361" i="16" s="1"/>
  <c r="E1362" i="16"/>
  <c r="F1362" i="16" s="1"/>
  <c r="E1363" i="16"/>
  <c r="F1363" i="16" s="1"/>
  <c r="E1364" i="16"/>
  <c r="F1364" i="16" s="1"/>
  <c r="E1365" i="16"/>
  <c r="F1365" i="16" s="1"/>
  <c r="E1366" i="16"/>
  <c r="F1366" i="16" s="1"/>
  <c r="E1367" i="16"/>
  <c r="F1367" i="16" s="1"/>
  <c r="E1368" i="16"/>
  <c r="F1368" i="16" s="1"/>
  <c r="E1369" i="16"/>
  <c r="F1369" i="16" s="1"/>
  <c r="E1370" i="16"/>
  <c r="F1370" i="16" s="1"/>
  <c r="E1371" i="16"/>
  <c r="F1371" i="16" s="1"/>
  <c r="E1372" i="16"/>
  <c r="F1372" i="16" s="1"/>
  <c r="E1373" i="16"/>
  <c r="F1373" i="16" s="1"/>
  <c r="E1374" i="16"/>
  <c r="F1374" i="16" s="1"/>
  <c r="E1375" i="16"/>
  <c r="F1375" i="16" s="1"/>
  <c r="E1376" i="16"/>
  <c r="F1376" i="16" s="1"/>
  <c r="E1377" i="16"/>
  <c r="F1377" i="16" s="1"/>
  <c r="E1378" i="16"/>
  <c r="F1378" i="16" s="1"/>
  <c r="E1379" i="16"/>
  <c r="F1379" i="16" s="1"/>
  <c r="E1380" i="16"/>
  <c r="F1380" i="16" s="1"/>
  <c r="E1381" i="16"/>
  <c r="F1381" i="16" s="1"/>
  <c r="E1382" i="16"/>
  <c r="F1382" i="16" s="1"/>
  <c r="E1383" i="16"/>
  <c r="F1383" i="16" s="1"/>
  <c r="E1384" i="16"/>
  <c r="F1384" i="16" s="1"/>
  <c r="E1385" i="16"/>
  <c r="F1385" i="16" s="1"/>
  <c r="E1386" i="16"/>
  <c r="F1386" i="16" s="1"/>
  <c r="E1387" i="16"/>
  <c r="F1387" i="16" s="1"/>
  <c r="E1388" i="16"/>
  <c r="F1388" i="16" s="1"/>
  <c r="E1389" i="16"/>
  <c r="F1389" i="16" s="1"/>
  <c r="E1390" i="16"/>
  <c r="F1390" i="16" s="1"/>
  <c r="E1391" i="16"/>
  <c r="F1391" i="16" s="1"/>
  <c r="E1392" i="16"/>
  <c r="F1392" i="16" s="1"/>
  <c r="E1393" i="16"/>
  <c r="F1393" i="16" s="1"/>
  <c r="E1394" i="16"/>
  <c r="F1394" i="16" s="1"/>
  <c r="E1395" i="16"/>
  <c r="F1395" i="16" s="1"/>
  <c r="E1396" i="16"/>
  <c r="F1396" i="16" s="1"/>
  <c r="E1397" i="16"/>
  <c r="F1397" i="16" s="1"/>
  <c r="E1398" i="16"/>
  <c r="F1398" i="16" s="1"/>
  <c r="E1399" i="16"/>
  <c r="F1399" i="16" s="1"/>
  <c r="E1400" i="16"/>
  <c r="F1400" i="16" s="1"/>
  <c r="E1401" i="16"/>
  <c r="F1401" i="16" s="1"/>
  <c r="E1402" i="16"/>
  <c r="F1402" i="16" s="1"/>
  <c r="E1403" i="16"/>
  <c r="F1403" i="16" s="1"/>
  <c r="E1404" i="16"/>
  <c r="F1404" i="16" s="1"/>
  <c r="E1405" i="16"/>
  <c r="F1405" i="16" s="1"/>
  <c r="E1406" i="16"/>
  <c r="F1406" i="16" s="1"/>
  <c r="E1407" i="16"/>
  <c r="F1407" i="16" s="1"/>
  <c r="E1408" i="16"/>
  <c r="F1408" i="16" s="1"/>
  <c r="E1409" i="16"/>
  <c r="F1409" i="16" s="1"/>
  <c r="E1410" i="16"/>
  <c r="F1410" i="16" s="1"/>
  <c r="E1411" i="16"/>
  <c r="F1411" i="16" s="1"/>
  <c r="E1412" i="16"/>
  <c r="F1412" i="16" s="1"/>
  <c r="E1413" i="16"/>
  <c r="F1413" i="16" s="1"/>
  <c r="E1414" i="16"/>
  <c r="F1414" i="16" s="1"/>
  <c r="E1415" i="16"/>
  <c r="F1415" i="16" s="1"/>
  <c r="E1416" i="16"/>
  <c r="F1416" i="16" s="1"/>
  <c r="E1417" i="16"/>
  <c r="F1417" i="16" s="1"/>
  <c r="E1418" i="16"/>
  <c r="F1418" i="16" s="1"/>
  <c r="E1419" i="16"/>
  <c r="F1419" i="16" s="1"/>
  <c r="E1420" i="16"/>
  <c r="F1420" i="16" s="1"/>
  <c r="E1421" i="16"/>
  <c r="F1421" i="16" s="1"/>
  <c r="E1422" i="16"/>
  <c r="F1422" i="16" s="1"/>
  <c r="E1423" i="16"/>
  <c r="F1423" i="16" s="1"/>
  <c r="E1424" i="16"/>
  <c r="F1424" i="16" s="1"/>
  <c r="E1425" i="16"/>
  <c r="F1425" i="16" s="1"/>
  <c r="E1426" i="16"/>
  <c r="F1426" i="16" s="1"/>
  <c r="E1427" i="16"/>
  <c r="F1427" i="16" s="1"/>
  <c r="E1428" i="16"/>
  <c r="F1428" i="16" s="1"/>
  <c r="E1429" i="16"/>
  <c r="F1429" i="16" s="1"/>
  <c r="E1430" i="16"/>
  <c r="F1430" i="16" s="1"/>
  <c r="E1431" i="16"/>
  <c r="F1431" i="16" s="1"/>
  <c r="E1432" i="16"/>
  <c r="F1432" i="16" s="1"/>
  <c r="E1433" i="16"/>
  <c r="F1433" i="16" s="1"/>
  <c r="E1434" i="16"/>
  <c r="F1434" i="16" s="1"/>
  <c r="E1435" i="16"/>
  <c r="F1435" i="16" s="1"/>
  <c r="E1436" i="16"/>
  <c r="F1436" i="16" s="1"/>
  <c r="E1437" i="16"/>
  <c r="F1437" i="16" s="1"/>
  <c r="E1438" i="16"/>
  <c r="F1438" i="16" s="1"/>
  <c r="E1439" i="16"/>
  <c r="F1439" i="16" s="1"/>
  <c r="E1440" i="16"/>
  <c r="F1440" i="16" s="1"/>
  <c r="E1441" i="16"/>
  <c r="F1441" i="16" s="1"/>
  <c r="E1442" i="16"/>
  <c r="F1442" i="16" s="1"/>
  <c r="E1443" i="16"/>
  <c r="F1443" i="16" s="1"/>
  <c r="E1444" i="16"/>
  <c r="F1444" i="16" s="1"/>
  <c r="E1445" i="16"/>
  <c r="F1445" i="16" s="1"/>
  <c r="E1446" i="16"/>
  <c r="F1446" i="16" s="1"/>
  <c r="E1447" i="16"/>
  <c r="F1447" i="16" s="1"/>
  <c r="E1448" i="16"/>
  <c r="F1448" i="16" s="1"/>
  <c r="E1449" i="16"/>
  <c r="F1449" i="16" s="1"/>
  <c r="E1450" i="16"/>
  <c r="F1450" i="16" s="1"/>
  <c r="E1451" i="16"/>
  <c r="F1451" i="16" s="1"/>
  <c r="E1452" i="16"/>
  <c r="F1452" i="16" s="1"/>
  <c r="E1453" i="16"/>
  <c r="F1453" i="16" s="1"/>
  <c r="E1454" i="16"/>
  <c r="F1454" i="16" s="1"/>
  <c r="E1455" i="16"/>
  <c r="F1455" i="16" s="1"/>
  <c r="E1456" i="16"/>
  <c r="F1456" i="16" s="1"/>
  <c r="E1457" i="16"/>
  <c r="F1457" i="16" s="1"/>
  <c r="E1458" i="16"/>
  <c r="F1458" i="16" s="1"/>
  <c r="E1459" i="16"/>
  <c r="F1459" i="16" s="1"/>
  <c r="E1460" i="16"/>
  <c r="F1460" i="16" s="1"/>
  <c r="E1461" i="16"/>
  <c r="F1461" i="16" s="1"/>
  <c r="E1462" i="16"/>
  <c r="F1462" i="16" s="1"/>
  <c r="E1463" i="16"/>
  <c r="F1463" i="16" s="1"/>
  <c r="E1464" i="16"/>
  <c r="F1464" i="16" s="1"/>
  <c r="E1465" i="16"/>
  <c r="F1465" i="16" s="1"/>
  <c r="E1466" i="16"/>
  <c r="F1466" i="16" s="1"/>
  <c r="E1467" i="16"/>
  <c r="F1467" i="16" s="1"/>
  <c r="E1468" i="16"/>
  <c r="F1468" i="16" s="1"/>
  <c r="E1469" i="16"/>
  <c r="F1469" i="16" s="1"/>
  <c r="E1470" i="16"/>
  <c r="F1470" i="16" s="1"/>
  <c r="E1471" i="16"/>
  <c r="F1471" i="16" s="1"/>
  <c r="E1472" i="16"/>
  <c r="F1472" i="16" s="1"/>
  <c r="E1473" i="16"/>
  <c r="F1473" i="16" s="1"/>
  <c r="E1474" i="16"/>
  <c r="F1474" i="16" s="1"/>
  <c r="E1475" i="16"/>
  <c r="F1475" i="16" s="1"/>
  <c r="E1476" i="16"/>
  <c r="F1476" i="16" s="1"/>
  <c r="E1477" i="16"/>
  <c r="F1477" i="16" s="1"/>
  <c r="E1478" i="16"/>
  <c r="F1478" i="16" s="1"/>
  <c r="E1479" i="16"/>
  <c r="F1479" i="16" s="1"/>
  <c r="E1480" i="16"/>
  <c r="F1480" i="16" s="1"/>
  <c r="E1481" i="16"/>
  <c r="F1481" i="16" s="1"/>
  <c r="E1482" i="16"/>
  <c r="F1482" i="16" s="1"/>
  <c r="E1483" i="16"/>
  <c r="F1483" i="16" s="1"/>
  <c r="E1484" i="16"/>
  <c r="F1484" i="16" s="1"/>
  <c r="E1485" i="16"/>
  <c r="F1485" i="16" s="1"/>
  <c r="E1486" i="16"/>
  <c r="F1486" i="16" s="1"/>
  <c r="E1487" i="16"/>
  <c r="F1487" i="16" s="1"/>
  <c r="E1488" i="16"/>
  <c r="F1488" i="16" s="1"/>
  <c r="E1489" i="16"/>
  <c r="F1489" i="16" s="1"/>
  <c r="E1490" i="16"/>
  <c r="F1490" i="16" s="1"/>
  <c r="E1491" i="16"/>
  <c r="F1491" i="16" s="1"/>
  <c r="E1492" i="16"/>
  <c r="F1492" i="16" s="1"/>
  <c r="E1493" i="16"/>
  <c r="F1493" i="16" s="1"/>
  <c r="E1494" i="16"/>
  <c r="F1494" i="16" s="1"/>
  <c r="E1495" i="16"/>
  <c r="F1495" i="16" s="1"/>
  <c r="E1496" i="16"/>
  <c r="F1496" i="16" s="1"/>
  <c r="E1497" i="16"/>
  <c r="F1497" i="16" s="1"/>
  <c r="E1498" i="16"/>
  <c r="F1498" i="16" s="1"/>
  <c r="E1499" i="16"/>
  <c r="F1499" i="16" s="1"/>
  <c r="E1500" i="16"/>
  <c r="F1500" i="16" s="1"/>
  <c r="E1501" i="16"/>
  <c r="F1501" i="16" s="1"/>
  <c r="E1502" i="16"/>
  <c r="F1502" i="16" s="1"/>
  <c r="E1503" i="16"/>
  <c r="F1503" i="16" s="1"/>
  <c r="E1504" i="16"/>
  <c r="F1504" i="16" s="1"/>
  <c r="E1505" i="16"/>
  <c r="F1505" i="16" s="1"/>
  <c r="E1506" i="16"/>
  <c r="F1506" i="16" s="1"/>
  <c r="E1507" i="16"/>
  <c r="F1507" i="16" s="1"/>
  <c r="E1508" i="16"/>
  <c r="F1508" i="16" s="1"/>
  <c r="E1509" i="16"/>
  <c r="F1509" i="16" s="1"/>
  <c r="E1510" i="16"/>
  <c r="F1510" i="16" s="1"/>
  <c r="E1511" i="16"/>
  <c r="F1511" i="16" s="1"/>
  <c r="E1512" i="16"/>
  <c r="F1512" i="16" s="1"/>
  <c r="E1513" i="16"/>
  <c r="F1513" i="16" s="1"/>
  <c r="E1514" i="16"/>
  <c r="F1514" i="16" s="1"/>
  <c r="E1515" i="16"/>
  <c r="F1515" i="16" s="1"/>
  <c r="E1516" i="16"/>
  <c r="F1516" i="16" s="1"/>
  <c r="E1517" i="16"/>
  <c r="F1517" i="16" s="1"/>
  <c r="E1518" i="16"/>
  <c r="F1518" i="16" s="1"/>
  <c r="E1519" i="16"/>
  <c r="F1519" i="16" s="1"/>
  <c r="E1520" i="16"/>
  <c r="F1520" i="16" s="1"/>
  <c r="E1521" i="16"/>
  <c r="F1521" i="16" s="1"/>
  <c r="E1522" i="16"/>
  <c r="F1522" i="16" s="1"/>
  <c r="E1523" i="16"/>
  <c r="F1523" i="16" s="1"/>
  <c r="E1524" i="16"/>
  <c r="F1524" i="16" s="1"/>
  <c r="E1525" i="16"/>
  <c r="F1525" i="16" s="1"/>
  <c r="E1526" i="16"/>
  <c r="F1526" i="16" s="1"/>
  <c r="E1527" i="16"/>
  <c r="F1527" i="16" s="1"/>
  <c r="E1528" i="16"/>
  <c r="F1528" i="16" s="1"/>
  <c r="E1529" i="16"/>
  <c r="F1529" i="16" s="1"/>
  <c r="E1530" i="16"/>
  <c r="F1530" i="16" s="1"/>
  <c r="E1531" i="16"/>
  <c r="F1531" i="16" s="1"/>
  <c r="E1532" i="16"/>
  <c r="F1532" i="16" s="1"/>
  <c r="E1533" i="16"/>
  <c r="F1533" i="16" s="1"/>
  <c r="E1534" i="16"/>
  <c r="F1534" i="16" s="1"/>
  <c r="E1535" i="16"/>
  <c r="F1535" i="16" s="1"/>
  <c r="E1536" i="16"/>
  <c r="F1536" i="16" s="1"/>
  <c r="E1537" i="16"/>
  <c r="F1537" i="16" s="1"/>
  <c r="E1538" i="16"/>
  <c r="F1538" i="16" s="1"/>
  <c r="E1539" i="16"/>
  <c r="F1539" i="16" s="1"/>
  <c r="E1540" i="16"/>
  <c r="F1540" i="16" s="1"/>
  <c r="E1541" i="16"/>
  <c r="F1541" i="16" s="1"/>
  <c r="E1542" i="16"/>
  <c r="F1542" i="16" s="1"/>
  <c r="E1543" i="16"/>
  <c r="F1543" i="16" s="1"/>
  <c r="E1544" i="16"/>
  <c r="F1544" i="16" s="1"/>
  <c r="E1545" i="16"/>
  <c r="F1545" i="16" s="1"/>
  <c r="E1546" i="16"/>
  <c r="F1546" i="16" s="1"/>
  <c r="E1547" i="16"/>
  <c r="F1547" i="16" s="1"/>
  <c r="E1548" i="16"/>
  <c r="F1548" i="16" s="1"/>
  <c r="E1549" i="16"/>
  <c r="F1549" i="16" s="1"/>
  <c r="E1550" i="16"/>
  <c r="F1550" i="16" s="1"/>
  <c r="E1551" i="16"/>
  <c r="F1551" i="16" s="1"/>
  <c r="E1552" i="16"/>
  <c r="F1552" i="16" s="1"/>
  <c r="E1553" i="16"/>
  <c r="F1553" i="16" s="1"/>
  <c r="E1554" i="16"/>
  <c r="F1554" i="16" s="1"/>
  <c r="E1555" i="16"/>
  <c r="F1555" i="16" s="1"/>
  <c r="E1556" i="16"/>
  <c r="F1556" i="16" s="1"/>
  <c r="E1557" i="16"/>
  <c r="F1557" i="16" s="1"/>
  <c r="E1558" i="16"/>
  <c r="F1558" i="16" s="1"/>
  <c r="E1559" i="16"/>
  <c r="F1559" i="16" s="1"/>
  <c r="E1560" i="16"/>
  <c r="F1560" i="16" s="1"/>
  <c r="E1561" i="16"/>
  <c r="F1561" i="16" s="1"/>
  <c r="E1562" i="16"/>
  <c r="F1562" i="16" s="1"/>
  <c r="E1563" i="16"/>
  <c r="F1563" i="16" s="1"/>
  <c r="E1564" i="16"/>
  <c r="F1564" i="16" s="1"/>
  <c r="E1565" i="16"/>
  <c r="F1565" i="16" s="1"/>
  <c r="E1566" i="16"/>
  <c r="F1566" i="16" s="1"/>
  <c r="E1567" i="16"/>
  <c r="F1567" i="16" s="1"/>
  <c r="E1568" i="16"/>
  <c r="F1568" i="16" s="1"/>
  <c r="E1569" i="16"/>
  <c r="F1569" i="16" s="1"/>
  <c r="E1570" i="16"/>
  <c r="F1570" i="16" s="1"/>
  <c r="E1571" i="16"/>
  <c r="F1571" i="16" s="1"/>
  <c r="E1572" i="16"/>
  <c r="F1572" i="16" s="1"/>
  <c r="E1573" i="16"/>
  <c r="F1573" i="16" s="1"/>
  <c r="E1574" i="16"/>
  <c r="F1574" i="16" s="1"/>
  <c r="E1575" i="16"/>
  <c r="F1575" i="16" s="1"/>
  <c r="E1576" i="16"/>
  <c r="F1576" i="16" s="1"/>
  <c r="E1577" i="16"/>
  <c r="F1577" i="16" s="1"/>
  <c r="E1578" i="16"/>
  <c r="F1578" i="16" s="1"/>
  <c r="E1579" i="16"/>
  <c r="F1579" i="16" s="1"/>
  <c r="E1580" i="16"/>
  <c r="F1580" i="16" s="1"/>
  <c r="E1581" i="16"/>
  <c r="F1581" i="16" s="1"/>
  <c r="E1582" i="16"/>
  <c r="F1582" i="16" s="1"/>
  <c r="E1583" i="16"/>
  <c r="F1583" i="16" s="1"/>
  <c r="E1584" i="16"/>
  <c r="F1584" i="16" s="1"/>
  <c r="E1585" i="16"/>
  <c r="F1585" i="16" s="1"/>
  <c r="E1586" i="16"/>
  <c r="F1586" i="16" s="1"/>
  <c r="E1587" i="16"/>
  <c r="F1587" i="16" s="1"/>
  <c r="E1588" i="16"/>
  <c r="F1588" i="16" s="1"/>
  <c r="E1589" i="16"/>
  <c r="F1589" i="16" s="1"/>
  <c r="E1590" i="16"/>
  <c r="F1590" i="16" s="1"/>
  <c r="E1591" i="16"/>
  <c r="F1591" i="16" s="1"/>
  <c r="E1592" i="16"/>
  <c r="F1592" i="16" s="1"/>
  <c r="E1593" i="16"/>
  <c r="F1593" i="16" s="1"/>
  <c r="E1594" i="16"/>
  <c r="F1594" i="16" s="1"/>
  <c r="E1595" i="16"/>
  <c r="F1595" i="16" s="1"/>
  <c r="E1596" i="16"/>
  <c r="F1596" i="16" s="1"/>
  <c r="E1597" i="16"/>
  <c r="F1597" i="16" s="1"/>
  <c r="E1598" i="16"/>
  <c r="F1598" i="16" s="1"/>
  <c r="E1599" i="16"/>
  <c r="F1599" i="16" s="1"/>
  <c r="E1600" i="16"/>
  <c r="F1600" i="16" s="1"/>
  <c r="E1601" i="16"/>
  <c r="F1601" i="16" s="1"/>
  <c r="E1602" i="16"/>
  <c r="F1602" i="16" s="1"/>
  <c r="E1603" i="16"/>
  <c r="F1603" i="16" s="1"/>
  <c r="E1604" i="16"/>
  <c r="F1604" i="16" s="1"/>
  <c r="E1605" i="16"/>
  <c r="F1605" i="16" s="1"/>
  <c r="E1606" i="16"/>
  <c r="F1606" i="16" s="1"/>
  <c r="E1607" i="16"/>
  <c r="F1607" i="16" s="1"/>
  <c r="E1608" i="16"/>
  <c r="F1608" i="16" s="1"/>
  <c r="E1609" i="16"/>
  <c r="F1609" i="16" s="1"/>
  <c r="E1610" i="16"/>
  <c r="F1610" i="16" s="1"/>
  <c r="E1611" i="16"/>
  <c r="F1611" i="16" s="1"/>
  <c r="E1612" i="16"/>
  <c r="F1612" i="16" s="1"/>
  <c r="E1613" i="16"/>
  <c r="F1613" i="16" s="1"/>
  <c r="E1614" i="16"/>
  <c r="F1614" i="16" s="1"/>
  <c r="E1615" i="16"/>
  <c r="F1615" i="16" s="1"/>
  <c r="E1616" i="16"/>
  <c r="F1616" i="16" s="1"/>
  <c r="E1617" i="16"/>
  <c r="F1617" i="16" s="1"/>
  <c r="E1618" i="16"/>
  <c r="F1618" i="16" s="1"/>
  <c r="E1619" i="16"/>
  <c r="F1619" i="16" s="1"/>
  <c r="E1620" i="16"/>
  <c r="F1620" i="16" s="1"/>
  <c r="E1621" i="16"/>
  <c r="F1621" i="16" s="1"/>
  <c r="E1622" i="16"/>
  <c r="F1622" i="16" s="1"/>
  <c r="E1623" i="16"/>
  <c r="F1623" i="16" s="1"/>
  <c r="E1624" i="16"/>
  <c r="F1624" i="16" s="1"/>
  <c r="E1625" i="16"/>
  <c r="F1625" i="16" s="1"/>
  <c r="E1626" i="16"/>
  <c r="F1626" i="16" s="1"/>
  <c r="E1627" i="16"/>
  <c r="F1627" i="16" s="1"/>
  <c r="E1628" i="16"/>
  <c r="F1628" i="16" s="1"/>
  <c r="E1629" i="16"/>
  <c r="F1629" i="16" s="1"/>
  <c r="E1630" i="16"/>
  <c r="F1630" i="16" s="1"/>
  <c r="E1631" i="16"/>
  <c r="F1631" i="16" s="1"/>
  <c r="E1632" i="16"/>
  <c r="F1632" i="16" s="1"/>
  <c r="E1633" i="16"/>
  <c r="F1633" i="16" s="1"/>
  <c r="E1634" i="16"/>
  <c r="F1634" i="16" s="1"/>
  <c r="E1635" i="16"/>
  <c r="F1635" i="16" s="1"/>
  <c r="E1636" i="16"/>
  <c r="F1636" i="16" s="1"/>
  <c r="E1637" i="16"/>
  <c r="F1637" i="16" s="1"/>
  <c r="E1638" i="16"/>
  <c r="F1638" i="16" s="1"/>
  <c r="E1639" i="16"/>
  <c r="F1639" i="16" s="1"/>
  <c r="E1640" i="16"/>
  <c r="F1640" i="16" s="1"/>
  <c r="E1641" i="16"/>
  <c r="F1641" i="16" s="1"/>
  <c r="E1642" i="16"/>
  <c r="F1642" i="16" s="1"/>
  <c r="E1643" i="16"/>
  <c r="F1643" i="16" s="1"/>
  <c r="E1644" i="16"/>
  <c r="F1644" i="16" s="1"/>
  <c r="E1645" i="16"/>
  <c r="F1645" i="16" s="1"/>
  <c r="E1646" i="16"/>
  <c r="F1646" i="16" s="1"/>
  <c r="E1647" i="16"/>
  <c r="F1647" i="16" s="1"/>
  <c r="E1648" i="16"/>
  <c r="F1648" i="16" s="1"/>
  <c r="E1649" i="16"/>
  <c r="F1649" i="16" s="1"/>
  <c r="E1650" i="16"/>
  <c r="F1650" i="16" s="1"/>
  <c r="E1651" i="16"/>
  <c r="F1651" i="16" s="1"/>
  <c r="E1652" i="16"/>
  <c r="F1652" i="16" s="1"/>
  <c r="E1653" i="16"/>
  <c r="F1653" i="16" s="1"/>
  <c r="E1654" i="16"/>
  <c r="F1654" i="16" s="1"/>
  <c r="E1655" i="16"/>
  <c r="F1655" i="16" s="1"/>
  <c r="E1656" i="16"/>
  <c r="F1656" i="16" s="1"/>
  <c r="E1657" i="16"/>
  <c r="F1657" i="16" s="1"/>
  <c r="E1658" i="16"/>
  <c r="F1658" i="16" s="1"/>
  <c r="E1659" i="16"/>
  <c r="F1659" i="16" s="1"/>
  <c r="E1660" i="16"/>
  <c r="F1660" i="16" s="1"/>
  <c r="E1661" i="16"/>
  <c r="F1661" i="16" s="1"/>
  <c r="E1662" i="16"/>
  <c r="F1662" i="16" s="1"/>
  <c r="E1663" i="16"/>
  <c r="F1663" i="16" s="1"/>
  <c r="E1664" i="16"/>
  <c r="F1664" i="16" s="1"/>
  <c r="E1665" i="16"/>
  <c r="F1665" i="16" s="1"/>
  <c r="E1666" i="16"/>
  <c r="F1666" i="16" s="1"/>
  <c r="E1667" i="16"/>
  <c r="F1667" i="16" s="1"/>
  <c r="E1668" i="16"/>
  <c r="F1668" i="16" s="1"/>
  <c r="E1669" i="16"/>
  <c r="F1669" i="16" s="1"/>
  <c r="E1670" i="16"/>
  <c r="F1670" i="16" s="1"/>
  <c r="E1671" i="16"/>
  <c r="F1671" i="16" s="1"/>
  <c r="E1672" i="16"/>
  <c r="F1672" i="16" s="1"/>
  <c r="E1673" i="16"/>
  <c r="F1673" i="16" s="1"/>
  <c r="E1674" i="16"/>
  <c r="F1674" i="16" s="1"/>
  <c r="E1675" i="16"/>
  <c r="F1675" i="16" s="1"/>
  <c r="E1676" i="16"/>
  <c r="F1676" i="16" s="1"/>
  <c r="E1677" i="16"/>
  <c r="F1677" i="16" s="1"/>
  <c r="E1678" i="16"/>
  <c r="F1678" i="16" s="1"/>
  <c r="E1679" i="16"/>
  <c r="F1679" i="16" s="1"/>
  <c r="E1680" i="16"/>
  <c r="F1680" i="16" s="1"/>
  <c r="E1681" i="16"/>
  <c r="F1681" i="16" s="1"/>
  <c r="E1682" i="16"/>
  <c r="F1682" i="16" s="1"/>
  <c r="E1683" i="16"/>
  <c r="F1683" i="16" s="1"/>
  <c r="E1684" i="16"/>
  <c r="F1684" i="16" s="1"/>
  <c r="E1685" i="16"/>
  <c r="F1685" i="16" s="1"/>
  <c r="E1686" i="16"/>
  <c r="F1686" i="16" s="1"/>
  <c r="E1687" i="16"/>
  <c r="F1687" i="16" s="1"/>
  <c r="E1688" i="16"/>
  <c r="F1688" i="16" s="1"/>
  <c r="E1689" i="16"/>
  <c r="F1689" i="16" s="1"/>
  <c r="E1690" i="16"/>
  <c r="F1690" i="16" s="1"/>
  <c r="E1691" i="16"/>
  <c r="F1691" i="16" s="1"/>
  <c r="E1692" i="16"/>
  <c r="F1692" i="16" s="1"/>
  <c r="E1693" i="16"/>
  <c r="F1693" i="16" s="1"/>
  <c r="E1694" i="16"/>
  <c r="F1694" i="16" s="1"/>
  <c r="E1695" i="16"/>
  <c r="F1695" i="16" s="1"/>
  <c r="E1696" i="16"/>
  <c r="F1696" i="16" s="1"/>
  <c r="E1697" i="16"/>
  <c r="F1697" i="16" s="1"/>
  <c r="E1698" i="16"/>
  <c r="F1698" i="16" s="1"/>
  <c r="E1699" i="16"/>
  <c r="F1699" i="16" s="1"/>
  <c r="E1700" i="16"/>
  <c r="F1700" i="16" s="1"/>
  <c r="E1701" i="16"/>
  <c r="F1701" i="16" s="1"/>
  <c r="E1702" i="16"/>
  <c r="F1702" i="16" s="1"/>
  <c r="E1703" i="16"/>
  <c r="F1703" i="16" s="1"/>
  <c r="E1704" i="16"/>
  <c r="F1704" i="16" s="1"/>
  <c r="E1705" i="16"/>
  <c r="F1705" i="16" s="1"/>
  <c r="E1706" i="16"/>
  <c r="F1706" i="16" s="1"/>
  <c r="E1707" i="16"/>
  <c r="F1707" i="16" s="1"/>
  <c r="E1708" i="16"/>
  <c r="F1708" i="16" s="1"/>
  <c r="E1709" i="16"/>
  <c r="F1709" i="16" s="1"/>
  <c r="E1710" i="16"/>
  <c r="F1710" i="16" s="1"/>
  <c r="E1711" i="16"/>
  <c r="F1711" i="16" s="1"/>
  <c r="E1712" i="16"/>
  <c r="F1712" i="16" s="1"/>
  <c r="E1713" i="16"/>
  <c r="F1713" i="16" s="1"/>
  <c r="E1714" i="16"/>
  <c r="F1714" i="16" s="1"/>
  <c r="E1715" i="16"/>
  <c r="F1715" i="16" s="1"/>
  <c r="E1716" i="16"/>
  <c r="F1716" i="16" s="1"/>
  <c r="E1717" i="16"/>
  <c r="F1717" i="16" s="1"/>
  <c r="E1718" i="16"/>
  <c r="F1718" i="16" s="1"/>
  <c r="E1719" i="16"/>
  <c r="F1719" i="16" s="1"/>
  <c r="E1720" i="16"/>
  <c r="F1720" i="16" s="1"/>
  <c r="E1721" i="16"/>
  <c r="F1721" i="16" s="1"/>
  <c r="E1722" i="16"/>
  <c r="F1722" i="16" s="1"/>
  <c r="E1723" i="16"/>
  <c r="F1723" i="16" s="1"/>
  <c r="E1724" i="16"/>
  <c r="F1724" i="16" s="1"/>
  <c r="E1725" i="16"/>
  <c r="F1725" i="16" s="1"/>
  <c r="E1726" i="16"/>
  <c r="F1726" i="16" s="1"/>
  <c r="E1727" i="16"/>
  <c r="F1727" i="16" s="1"/>
  <c r="E1728" i="16"/>
  <c r="F1728" i="16" s="1"/>
  <c r="E1729" i="16"/>
  <c r="F1729" i="16" s="1"/>
  <c r="E1730" i="16"/>
  <c r="F1730" i="16" s="1"/>
  <c r="E1731" i="16"/>
  <c r="F1731" i="16" s="1"/>
  <c r="E1732" i="16"/>
  <c r="F1732" i="16" s="1"/>
  <c r="E1733" i="16"/>
  <c r="F1733" i="16" s="1"/>
  <c r="E1734" i="16"/>
  <c r="F1734" i="16" s="1"/>
  <c r="E1735" i="16"/>
  <c r="F1735" i="16" s="1"/>
  <c r="E1736" i="16"/>
  <c r="F1736" i="16" s="1"/>
  <c r="E1737" i="16"/>
  <c r="F1737" i="16" s="1"/>
  <c r="E1738" i="16"/>
  <c r="F1738" i="16" s="1"/>
  <c r="E1739" i="16"/>
  <c r="F1739" i="16" s="1"/>
  <c r="E1740" i="16"/>
  <c r="F1740" i="16" s="1"/>
  <c r="E1741" i="16"/>
  <c r="F1741" i="16" s="1"/>
  <c r="E1742" i="16"/>
  <c r="F1742" i="16" s="1"/>
  <c r="E1743" i="16"/>
  <c r="F1743" i="16" s="1"/>
  <c r="E1744" i="16"/>
  <c r="F1744" i="16" s="1"/>
  <c r="E1745" i="16"/>
  <c r="F1745" i="16" s="1"/>
  <c r="E1746" i="16"/>
  <c r="F1746" i="16" s="1"/>
  <c r="E1747" i="16"/>
  <c r="F1747" i="16" s="1"/>
  <c r="E1748" i="16"/>
  <c r="F1748" i="16" s="1"/>
  <c r="E1749" i="16"/>
  <c r="F1749" i="16" s="1"/>
  <c r="E1750" i="16"/>
  <c r="F1750" i="16" s="1"/>
  <c r="E1751" i="16"/>
  <c r="F1751" i="16" s="1"/>
  <c r="E1752" i="16"/>
  <c r="F1752" i="16" s="1"/>
  <c r="E1753" i="16"/>
  <c r="F1753" i="16" s="1"/>
  <c r="E1754" i="16"/>
  <c r="F1754" i="16" s="1"/>
  <c r="E1755" i="16"/>
  <c r="F1755" i="16" s="1"/>
  <c r="E1756" i="16"/>
  <c r="F1756" i="16" s="1"/>
  <c r="E1757" i="16"/>
  <c r="F1757" i="16" s="1"/>
  <c r="E1758" i="16"/>
  <c r="F1758" i="16" s="1"/>
  <c r="E1759" i="16"/>
  <c r="F1759" i="16" s="1"/>
  <c r="E1760" i="16"/>
  <c r="F1760" i="16" s="1"/>
  <c r="E1761" i="16"/>
  <c r="F1761" i="16" s="1"/>
  <c r="E1762" i="16"/>
  <c r="F1762" i="16" s="1"/>
  <c r="E1763" i="16"/>
  <c r="F1763" i="16" s="1"/>
  <c r="E1764" i="16"/>
  <c r="F1764" i="16" s="1"/>
  <c r="E1765" i="16"/>
  <c r="F1765" i="16" s="1"/>
  <c r="E1766" i="16"/>
  <c r="F1766" i="16" s="1"/>
  <c r="E1767" i="16"/>
  <c r="F1767" i="16" s="1"/>
  <c r="E1768" i="16"/>
  <c r="F1768" i="16" s="1"/>
  <c r="E1769" i="16"/>
  <c r="F1769" i="16" s="1"/>
  <c r="E1770" i="16"/>
  <c r="F1770" i="16" s="1"/>
  <c r="E1771" i="16"/>
  <c r="F1771" i="16" s="1"/>
  <c r="E1772" i="16"/>
  <c r="F1772" i="16" s="1"/>
  <c r="E1773" i="16"/>
  <c r="F1773" i="16" s="1"/>
  <c r="E1774" i="16"/>
  <c r="F1774" i="16" s="1"/>
  <c r="E1775" i="16"/>
  <c r="F1775" i="16" s="1"/>
  <c r="E1776" i="16"/>
  <c r="F1776" i="16" s="1"/>
  <c r="E1777" i="16"/>
  <c r="F1777" i="16" s="1"/>
  <c r="E1778" i="16"/>
  <c r="F1778" i="16" s="1"/>
  <c r="E1779" i="16"/>
  <c r="F1779" i="16" s="1"/>
  <c r="E1780" i="16"/>
  <c r="F1780" i="16" s="1"/>
  <c r="E1781" i="16"/>
  <c r="F1781" i="16" s="1"/>
  <c r="E1782" i="16"/>
  <c r="F1782" i="16" s="1"/>
  <c r="E1783" i="16"/>
  <c r="F1783" i="16" s="1"/>
  <c r="E1784" i="16"/>
  <c r="F1784" i="16" s="1"/>
  <c r="E1785" i="16"/>
  <c r="F1785" i="16" s="1"/>
  <c r="E1786" i="16"/>
  <c r="F1786" i="16" s="1"/>
  <c r="E1787" i="16"/>
  <c r="F1787" i="16" s="1"/>
  <c r="E1788" i="16"/>
  <c r="F1788" i="16" s="1"/>
  <c r="E1789" i="16"/>
  <c r="F1789" i="16" s="1"/>
  <c r="E1790" i="16"/>
  <c r="F1790" i="16" s="1"/>
  <c r="E1791" i="16"/>
  <c r="F1791" i="16" s="1"/>
  <c r="E1792" i="16"/>
  <c r="F1792" i="16" s="1"/>
  <c r="E1793" i="16"/>
  <c r="F1793" i="16" s="1"/>
  <c r="E1794" i="16"/>
  <c r="F1794" i="16" s="1"/>
  <c r="E1795" i="16"/>
  <c r="F1795" i="16" s="1"/>
  <c r="E1796" i="16"/>
  <c r="F1796" i="16" s="1"/>
  <c r="E1797" i="16"/>
  <c r="F1797" i="16" s="1"/>
  <c r="E1798" i="16"/>
  <c r="F1798" i="16" s="1"/>
  <c r="E1799" i="16"/>
  <c r="F1799" i="16" s="1"/>
  <c r="E1800" i="16"/>
  <c r="F1800" i="16" s="1"/>
  <c r="E1801" i="16"/>
  <c r="F1801" i="16" s="1"/>
  <c r="E1802" i="16"/>
  <c r="F1802" i="16" s="1"/>
  <c r="E1803" i="16"/>
  <c r="F1803" i="16" s="1"/>
  <c r="E1804" i="16"/>
  <c r="F1804" i="16" s="1"/>
  <c r="E1805" i="16"/>
  <c r="F1805" i="16" s="1"/>
  <c r="E1806" i="16"/>
  <c r="F1806" i="16" s="1"/>
  <c r="E1807" i="16"/>
  <c r="F1807" i="16" s="1"/>
  <c r="E1808" i="16"/>
  <c r="F1808" i="16" s="1"/>
  <c r="E1809" i="16"/>
  <c r="F1809" i="16" s="1"/>
  <c r="E1810" i="16"/>
  <c r="F1810" i="16" s="1"/>
  <c r="E1811" i="16"/>
  <c r="F1811" i="16" s="1"/>
  <c r="E1812" i="16"/>
  <c r="F1812" i="16" s="1"/>
  <c r="E1813" i="16"/>
  <c r="F1813" i="16" s="1"/>
  <c r="E1814" i="16"/>
  <c r="F1814" i="16" s="1"/>
  <c r="E1815" i="16"/>
  <c r="F1815" i="16" s="1"/>
  <c r="E1816" i="16"/>
  <c r="F1816" i="16" s="1"/>
  <c r="E1817" i="16"/>
  <c r="F1817" i="16" s="1"/>
  <c r="E1818" i="16"/>
  <c r="F1818" i="16" s="1"/>
  <c r="E1819" i="16"/>
  <c r="F1819" i="16" s="1"/>
  <c r="E1820" i="16"/>
  <c r="F1820" i="16" s="1"/>
  <c r="E1821" i="16"/>
  <c r="F1821" i="16" s="1"/>
  <c r="E1822" i="16"/>
  <c r="F1822" i="16" s="1"/>
  <c r="E1823" i="16"/>
  <c r="F1823" i="16" s="1"/>
  <c r="E1824" i="16"/>
  <c r="F1824" i="16" s="1"/>
  <c r="E1825" i="16"/>
  <c r="F1825" i="16" s="1"/>
  <c r="E1826" i="16"/>
  <c r="F1826" i="16" s="1"/>
  <c r="E1827" i="16"/>
  <c r="F1827" i="16" s="1"/>
  <c r="E1828" i="16"/>
  <c r="F1828" i="16" s="1"/>
  <c r="E1829" i="16"/>
  <c r="F1829" i="16" s="1"/>
  <c r="E1830" i="16"/>
  <c r="F1830" i="16" s="1"/>
  <c r="E1831" i="16"/>
  <c r="F1831" i="16" s="1"/>
  <c r="E1832" i="16"/>
  <c r="F1832" i="16" s="1"/>
  <c r="E1833" i="16"/>
  <c r="F1833" i="16" s="1"/>
  <c r="E1834" i="16"/>
  <c r="F1834" i="16" s="1"/>
  <c r="E1835" i="16"/>
  <c r="F1835" i="16" s="1"/>
  <c r="E1836" i="16"/>
  <c r="F1836" i="16" s="1"/>
  <c r="E1837" i="16"/>
  <c r="F1837" i="16" s="1"/>
  <c r="E1838" i="16"/>
  <c r="F1838" i="16" s="1"/>
  <c r="E1839" i="16"/>
  <c r="F1839" i="16" s="1"/>
  <c r="E1840" i="16"/>
  <c r="F1840" i="16" s="1"/>
  <c r="E1841" i="16"/>
  <c r="F1841" i="16" s="1"/>
  <c r="E1842" i="16"/>
  <c r="F1842" i="16" s="1"/>
  <c r="E1843" i="16"/>
  <c r="F1843" i="16" s="1"/>
  <c r="E1844" i="16"/>
  <c r="F1844" i="16" s="1"/>
  <c r="E1845" i="16"/>
  <c r="F1845" i="16" s="1"/>
  <c r="E1846" i="16"/>
  <c r="F1846" i="16" s="1"/>
  <c r="E1847" i="16"/>
  <c r="F1847" i="16" s="1"/>
  <c r="E1848" i="16"/>
  <c r="F1848" i="16" s="1"/>
  <c r="E1849" i="16"/>
  <c r="F1849" i="16" s="1"/>
  <c r="E1850" i="16"/>
  <c r="F1850" i="16" s="1"/>
  <c r="E1851" i="16"/>
  <c r="F1851" i="16" s="1"/>
  <c r="E1852" i="16"/>
  <c r="F1852" i="16" s="1"/>
  <c r="E1853" i="16"/>
  <c r="F1853" i="16" s="1"/>
  <c r="E1854" i="16"/>
  <c r="F1854" i="16" s="1"/>
  <c r="E1855" i="16"/>
  <c r="F1855" i="16" s="1"/>
  <c r="E1856" i="16"/>
  <c r="F1856" i="16" s="1"/>
  <c r="E1857" i="16"/>
  <c r="F1857" i="16" s="1"/>
  <c r="E1858" i="16"/>
  <c r="F1858" i="16" s="1"/>
  <c r="E1859" i="16"/>
  <c r="F1859" i="16" s="1"/>
  <c r="E1860" i="16"/>
  <c r="F1860" i="16" s="1"/>
  <c r="E1861" i="16"/>
  <c r="F1861" i="16" s="1"/>
  <c r="E1862" i="16"/>
  <c r="F1862" i="16" s="1"/>
  <c r="E1863" i="16"/>
  <c r="F1863" i="16" s="1"/>
  <c r="E1864" i="16"/>
  <c r="F1864" i="16" s="1"/>
  <c r="E1865" i="16"/>
  <c r="F1865" i="16" s="1"/>
  <c r="E1866" i="16"/>
  <c r="F1866" i="16" s="1"/>
  <c r="E1867" i="16"/>
  <c r="F1867" i="16" s="1"/>
  <c r="E1868" i="16"/>
  <c r="F1868" i="16" s="1"/>
  <c r="E1869" i="16"/>
  <c r="F1869" i="16" s="1"/>
  <c r="E1870" i="16"/>
  <c r="F1870" i="16" s="1"/>
  <c r="E1871" i="16"/>
  <c r="F1871" i="16" s="1"/>
  <c r="E1872" i="16"/>
  <c r="F1872" i="16" s="1"/>
  <c r="E1873" i="16"/>
  <c r="F1873" i="16" s="1"/>
  <c r="E1874" i="16"/>
  <c r="F1874" i="16" s="1"/>
  <c r="E1875" i="16"/>
  <c r="F1875" i="16" s="1"/>
  <c r="E1876" i="16"/>
  <c r="F1876" i="16" s="1"/>
  <c r="E1877" i="16"/>
  <c r="F1877" i="16" s="1"/>
  <c r="E1878" i="16"/>
  <c r="F1878" i="16" s="1"/>
  <c r="E1879" i="16"/>
  <c r="F1879" i="16" s="1"/>
  <c r="E1880" i="16"/>
  <c r="F1880" i="16" s="1"/>
  <c r="E1881" i="16"/>
  <c r="F1881" i="16" s="1"/>
  <c r="E1882" i="16"/>
  <c r="F1882" i="16" s="1"/>
  <c r="E1883" i="16"/>
  <c r="F1883" i="16" s="1"/>
  <c r="E1884" i="16"/>
  <c r="F1884" i="16" s="1"/>
  <c r="E1885" i="16"/>
  <c r="F1885" i="16" s="1"/>
  <c r="E1886" i="16"/>
  <c r="F1886" i="16" s="1"/>
  <c r="E1887" i="16"/>
  <c r="F1887" i="16" s="1"/>
  <c r="E1888" i="16"/>
  <c r="F1888" i="16" s="1"/>
  <c r="E1889" i="16"/>
  <c r="F1889" i="16" s="1"/>
  <c r="E1890" i="16"/>
  <c r="F1890" i="16" s="1"/>
  <c r="E1891" i="16"/>
  <c r="F1891" i="16" s="1"/>
  <c r="E1892" i="16"/>
  <c r="F1892" i="16" s="1"/>
  <c r="E1893" i="16"/>
  <c r="F1893" i="16" s="1"/>
  <c r="E1894" i="16"/>
  <c r="F1894" i="16" s="1"/>
  <c r="E1895" i="16"/>
  <c r="F1895" i="16" s="1"/>
  <c r="E1896" i="16"/>
  <c r="F1896" i="16" s="1"/>
  <c r="E1897" i="16"/>
  <c r="F1897" i="16" s="1"/>
  <c r="E1898" i="16"/>
  <c r="F1898" i="16" s="1"/>
  <c r="E1899" i="16"/>
  <c r="F1899" i="16" s="1"/>
  <c r="E1900" i="16"/>
  <c r="F1900" i="16" s="1"/>
  <c r="E1901" i="16"/>
  <c r="F1901" i="16" s="1"/>
  <c r="E1902" i="16"/>
  <c r="F1902" i="16" s="1"/>
  <c r="E1903" i="16"/>
  <c r="F1903" i="16" s="1"/>
  <c r="E1904" i="16"/>
  <c r="F1904" i="16" s="1"/>
  <c r="E1905" i="16"/>
  <c r="F1905" i="16" s="1"/>
  <c r="E1906" i="16"/>
  <c r="F1906" i="16" s="1"/>
  <c r="E1907" i="16"/>
  <c r="F1907" i="16" s="1"/>
  <c r="E1908" i="16"/>
  <c r="F1908" i="16" s="1"/>
  <c r="E1909" i="16"/>
  <c r="F1909" i="16" s="1"/>
  <c r="E1910" i="16"/>
  <c r="F1910" i="16" s="1"/>
  <c r="E1911" i="16"/>
  <c r="F1911" i="16" s="1"/>
  <c r="E1912" i="16"/>
  <c r="F1912" i="16" s="1"/>
  <c r="E1913" i="16"/>
  <c r="F1913" i="16" s="1"/>
  <c r="E1914" i="16"/>
  <c r="F1914" i="16" s="1"/>
  <c r="E1915" i="16"/>
  <c r="F1915" i="16" s="1"/>
  <c r="E1916" i="16"/>
  <c r="F1916" i="16" s="1"/>
  <c r="E1917" i="16"/>
  <c r="F1917" i="16" s="1"/>
  <c r="E1918" i="16"/>
  <c r="F1918" i="16" s="1"/>
  <c r="E1919" i="16"/>
  <c r="F1919" i="16" s="1"/>
  <c r="E1920" i="16"/>
  <c r="F1920" i="16" s="1"/>
  <c r="E1921" i="16"/>
  <c r="F1921" i="16" s="1"/>
  <c r="E1922" i="16"/>
  <c r="F1922" i="16" s="1"/>
  <c r="E1923" i="16"/>
  <c r="F1923" i="16" s="1"/>
  <c r="E1924" i="16"/>
  <c r="F1924" i="16" s="1"/>
  <c r="E1925" i="16"/>
  <c r="F1925" i="16" s="1"/>
  <c r="E1926" i="16"/>
  <c r="F1926" i="16" s="1"/>
  <c r="E1927" i="16"/>
  <c r="F1927" i="16" s="1"/>
  <c r="E1928" i="16"/>
  <c r="F1928" i="16" s="1"/>
  <c r="E1929" i="16"/>
  <c r="F1929" i="16" s="1"/>
  <c r="E1930" i="16"/>
  <c r="F1930" i="16" s="1"/>
  <c r="E1931" i="16"/>
  <c r="F1931" i="16" s="1"/>
  <c r="E1932" i="16"/>
  <c r="F1932" i="16" s="1"/>
  <c r="E1933" i="16"/>
  <c r="F1933" i="16" s="1"/>
  <c r="E1934" i="16"/>
  <c r="F1934" i="16" s="1"/>
  <c r="E1935" i="16"/>
  <c r="F1935" i="16" s="1"/>
  <c r="E1936" i="16"/>
  <c r="F1936" i="16" s="1"/>
  <c r="E1937" i="16"/>
  <c r="F1937" i="16" s="1"/>
  <c r="E1938" i="16"/>
  <c r="F1938" i="16" s="1"/>
  <c r="E1939" i="16"/>
  <c r="F1939" i="16" s="1"/>
  <c r="E1940" i="16"/>
  <c r="F1940" i="16" s="1"/>
  <c r="E1941" i="16"/>
  <c r="F1941" i="16" s="1"/>
  <c r="E1942" i="16"/>
  <c r="F1942" i="16" s="1"/>
  <c r="E1943" i="16"/>
  <c r="F1943" i="16" s="1"/>
  <c r="E1944" i="16"/>
  <c r="F1944" i="16" s="1"/>
  <c r="E1945" i="16"/>
  <c r="F1945" i="16" s="1"/>
  <c r="E1946" i="16"/>
  <c r="F1946" i="16" s="1"/>
  <c r="E1947" i="16"/>
  <c r="F1947" i="16" s="1"/>
  <c r="E1948" i="16"/>
  <c r="F1948" i="16" s="1"/>
  <c r="E1949" i="16"/>
  <c r="F1949" i="16" s="1"/>
  <c r="E1950" i="16"/>
  <c r="F1950" i="16" s="1"/>
  <c r="E1951" i="16"/>
  <c r="F1951" i="16" s="1"/>
  <c r="E1952" i="16"/>
  <c r="F1952" i="16" s="1"/>
  <c r="E1953" i="16"/>
  <c r="F1953" i="16" s="1"/>
  <c r="E1954" i="16"/>
  <c r="F1954" i="16" s="1"/>
  <c r="E1955" i="16"/>
  <c r="F1955" i="16" s="1"/>
  <c r="E1956" i="16"/>
  <c r="F1956" i="16" s="1"/>
  <c r="E1957" i="16"/>
  <c r="F1957" i="16" s="1"/>
  <c r="E1958" i="16"/>
  <c r="F1958" i="16" s="1"/>
  <c r="E1959" i="16"/>
  <c r="F1959" i="16" s="1"/>
  <c r="E1960" i="16"/>
  <c r="F1960" i="16" s="1"/>
  <c r="E1961" i="16"/>
  <c r="F1961" i="16" s="1"/>
  <c r="E1962" i="16"/>
  <c r="F1962" i="16" s="1"/>
  <c r="E1963" i="16"/>
  <c r="F1963" i="16" s="1"/>
  <c r="E1964" i="16"/>
  <c r="F1964" i="16" s="1"/>
  <c r="E1965" i="16"/>
  <c r="F1965" i="16" s="1"/>
  <c r="E1966" i="16"/>
  <c r="F1966" i="16" s="1"/>
  <c r="E1967" i="16"/>
  <c r="F1967" i="16" s="1"/>
  <c r="E1968" i="16"/>
  <c r="F1968" i="16" s="1"/>
  <c r="E1969" i="16"/>
  <c r="F1969" i="16" s="1"/>
  <c r="E1970" i="16"/>
  <c r="F1970" i="16" s="1"/>
  <c r="E1971" i="16"/>
  <c r="F1971" i="16" s="1"/>
  <c r="E1972" i="16"/>
  <c r="F1972" i="16" s="1"/>
  <c r="E1973" i="16"/>
  <c r="F1973" i="16" s="1"/>
  <c r="E1974" i="16"/>
  <c r="F1974" i="16" s="1"/>
  <c r="E1975" i="16"/>
  <c r="F1975" i="16" s="1"/>
  <c r="E1976" i="16"/>
  <c r="F1976" i="16" s="1"/>
  <c r="E1977" i="16"/>
  <c r="F1977" i="16" s="1"/>
  <c r="E1978" i="16"/>
  <c r="F1978" i="16" s="1"/>
  <c r="E1979" i="16"/>
  <c r="F1979" i="16" s="1"/>
  <c r="E1980" i="16"/>
  <c r="F1980" i="16" s="1"/>
  <c r="E1981" i="16"/>
  <c r="F1981" i="16" s="1"/>
  <c r="E1982" i="16"/>
  <c r="F1982" i="16" s="1"/>
  <c r="E1983" i="16"/>
  <c r="F1983" i="16" s="1"/>
  <c r="E1984" i="16"/>
  <c r="F1984" i="16" s="1"/>
  <c r="E1985" i="16"/>
  <c r="F1985" i="16" s="1"/>
  <c r="E1986" i="16"/>
  <c r="F1986" i="16" s="1"/>
  <c r="E1987" i="16"/>
  <c r="F1987" i="16" s="1"/>
  <c r="E1988" i="16"/>
  <c r="F1988" i="16" s="1"/>
  <c r="E1989" i="16"/>
  <c r="F1989" i="16" s="1"/>
  <c r="E1990" i="16"/>
  <c r="F1990" i="16" s="1"/>
  <c r="E1991" i="16"/>
  <c r="F1991" i="16" s="1"/>
  <c r="E1992" i="16"/>
  <c r="F1992" i="16" s="1"/>
  <c r="E1993" i="16"/>
  <c r="F1993" i="16" s="1"/>
  <c r="E1994" i="16"/>
  <c r="F1994" i="16" s="1"/>
  <c r="E1995" i="16"/>
  <c r="F1995" i="16" s="1"/>
  <c r="E1996" i="16"/>
  <c r="F1996" i="16" s="1"/>
  <c r="E1997" i="16"/>
  <c r="F1997" i="16" s="1"/>
  <c r="E1998" i="16"/>
  <c r="F1998" i="16" s="1"/>
  <c r="E1999" i="16"/>
  <c r="F1999" i="16" s="1"/>
  <c r="E2000" i="16"/>
  <c r="F2000" i="16" s="1"/>
  <c r="E2001" i="16"/>
  <c r="F2001" i="16" s="1"/>
  <c r="E2002" i="16"/>
  <c r="F2002" i="16" s="1"/>
  <c r="E2003" i="16"/>
  <c r="F2003" i="16" s="1"/>
  <c r="E2004" i="16"/>
  <c r="F2004" i="16" s="1"/>
  <c r="E2005" i="16"/>
  <c r="F2005" i="16" s="1"/>
  <c r="E2006" i="16"/>
  <c r="F2006" i="16" s="1"/>
  <c r="E2007" i="16"/>
  <c r="F2007" i="16" s="1"/>
  <c r="E2008" i="16"/>
  <c r="F2008" i="16" s="1"/>
  <c r="E2009" i="16"/>
  <c r="F2009" i="16" s="1"/>
  <c r="E2010" i="16"/>
  <c r="F2010" i="16" s="1"/>
  <c r="E2011" i="16"/>
  <c r="F2011" i="16" s="1"/>
  <c r="E2012" i="16"/>
  <c r="F2012" i="16" s="1"/>
  <c r="E2013" i="16"/>
  <c r="F2013" i="16" s="1"/>
  <c r="E2014" i="16"/>
  <c r="F2014" i="16" s="1"/>
  <c r="E2015" i="16"/>
  <c r="F2015" i="16" s="1"/>
  <c r="E2016" i="16"/>
  <c r="F2016" i="16" s="1"/>
  <c r="E2017" i="16"/>
  <c r="F2017" i="16" s="1"/>
  <c r="E2018" i="16"/>
  <c r="F2018" i="16" s="1"/>
  <c r="E2019" i="16"/>
  <c r="F2019" i="16" s="1"/>
  <c r="E2020" i="16"/>
  <c r="F2020" i="16" s="1"/>
  <c r="E2021" i="16"/>
  <c r="F2021" i="16" s="1"/>
  <c r="E2022" i="16"/>
  <c r="F2022" i="16" s="1"/>
  <c r="E2023" i="16"/>
  <c r="F2023" i="16" s="1"/>
  <c r="E2024" i="16"/>
  <c r="F2024" i="16" s="1"/>
  <c r="E2025" i="16"/>
  <c r="F2025" i="16" s="1"/>
  <c r="E2026" i="16"/>
  <c r="F2026" i="16" s="1"/>
  <c r="E2027" i="16"/>
  <c r="F2027" i="16" s="1"/>
  <c r="E2028" i="16"/>
  <c r="F2028" i="16" s="1"/>
  <c r="E2029" i="16"/>
  <c r="F2029" i="16" s="1"/>
  <c r="E2030" i="16"/>
  <c r="F2030" i="16" s="1"/>
  <c r="E2031" i="16"/>
  <c r="F2031" i="16" s="1"/>
  <c r="E2032" i="16"/>
  <c r="F2032" i="16" s="1"/>
  <c r="E2033" i="16"/>
  <c r="F2033" i="16" s="1"/>
  <c r="E2034" i="16"/>
  <c r="F2034" i="16" s="1"/>
  <c r="E2035" i="16"/>
  <c r="F2035" i="16" s="1"/>
  <c r="E2036" i="16"/>
  <c r="F2036" i="16" s="1"/>
  <c r="E2037" i="16"/>
  <c r="F2037" i="16" s="1"/>
  <c r="E2038" i="16"/>
  <c r="F2038" i="16" s="1"/>
  <c r="E2039" i="16"/>
  <c r="F2039" i="16" s="1"/>
  <c r="E2040" i="16"/>
  <c r="F2040" i="16" s="1"/>
  <c r="E2041" i="16"/>
  <c r="F2041" i="16" s="1"/>
  <c r="E2042" i="16"/>
  <c r="F2042" i="16" s="1"/>
  <c r="E2043" i="16"/>
  <c r="F2043" i="16" s="1"/>
  <c r="E2044" i="16"/>
  <c r="F2044" i="16" s="1"/>
  <c r="E2045" i="16"/>
  <c r="F2045" i="16" s="1"/>
  <c r="E2046" i="16"/>
  <c r="F2046" i="16" s="1"/>
  <c r="E2047" i="16"/>
  <c r="F2047" i="16" s="1"/>
  <c r="E2048" i="16"/>
  <c r="F2048" i="16" s="1"/>
  <c r="E2049" i="16"/>
  <c r="F2049" i="16" s="1"/>
  <c r="E2050" i="16"/>
  <c r="F2050" i="16" s="1"/>
  <c r="E2051" i="16"/>
  <c r="F2051" i="16" s="1"/>
  <c r="E2052" i="16"/>
  <c r="F2052" i="16" s="1"/>
  <c r="E2053" i="16"/>
  <c r="F2053" i="16" s="1"/>
  <c r="E2054" i="16"/>
  <c r="F2054" i="16" s="1"/>
  <c r="E2055" i="16"/>
  <c r="F2055" i="16" s="1"/>
  <c r="E2056" i="16"/>
  <c r="F2056" i="16" s="1"/>
  <c r="E2057" i="16"/>
  <c r="F2057" i="16" s="1"/>
  <c r="E2058" i="16"/>
  <c r="F2058" i="16" s="1"/>
  <c r="E2059" i="16"/>
  <c r="F2059" i="16" s="1"/>
  <c r="E2060" i="16"/>
  <c r="F2060" i="16" s="1"/>
  <c r="E2061" i="16"/>
  <c r="F2061" i="16" s="1"/>
  <c r="E2062" i="16"/>
  <c r="F2062" i="16" s="1"/>
  <c r="E2063" i="16"/>
  <c r="F2063" i="16" s="1"/>
  <c r="E2064" i="16"/>
  <c r="F2064" i="16" s="1"/>
  <c r="E2065" i="16"/>
  <c r="F2065" i="16" s="1"/>
  <c r="E2066" i="16"/>
  <c r="F2066" i="16" s="1"/>
  <c r="E2067" i="16"/>
  <c r="F2067" i="16" s="1"/>
  <c r="E2068" i="16"/>
  <c r="F2068" i="16" s="1"/>
  <c r="E2069" i="16"/>
  <c r="F2069" i="16" s="1"/>
  <c r="E2070" i="16"/>
  <c r="F2070" i="16" s="1"/>
  <c r="E2071" i="16"/>
  <c r="F2071" i="16" s="1"/>
  <c r="E2072" i="16"/>
  <c r="F2072" i="16" s="1"/>
  <c r="E2073" i="16"/>
  <c r="F2073" i="16" s="1"/>
  <c r="E2074" i="16"/>
  <c r="F2074" i="16" s="1"/>
  <c r="E2075" i="16"/>
  <c r="F2075" i="16" s="1"/>
  <c r="E2076" i="16"/>
  <c r="F2076" i="16" s="1"/>
  <c r="E2077" i="16"/>
  <c r="F2077" i="16" s="1"/>
  <c r="E2078" i="16"/>
  <c r="F2078" i="16" s="1"/>
  <c r="E2079" i="16"/>
  <c r="F2079" i="16" s="1"/>
  <c r="E2080" i="16"/>
  <c r="F2080" i="16" s="1"/>
  <c r="E2081" i="16"/>
  <c r="F2081" i="16" s="1"/>
  <c r="E2082" i="16"/>
  <c r="F2082" i="16" s="1"/>
  <c r="E2083" i="16"/>
  <c r="F2083" i="16" s="1"/>
  <c r="E2084" i="16"/>
  <c r="F2084" i="16" s="1"/>
  <c r="E2085" i="16"/>
  <c r="F2085" i="16" s="1"/>
  <c r="E2086" i="16"/>
  <c r="F2086" i="16" s="1"/>
  <c r="E2087" i="16"/>
  <c r="F2087" i="16" s="1"/>
  <c r="E2088" i="16"/>
  <c r="F2088" i="16" s="1"/>
  <c r="E2089" i="16"/>
  <c r="F2089" i="16" s="1"/>
  <c r="E2090" i="16"/>
  <c r="F2090" i="16" s="1"/>
  <c r="E2091" i="16"/>
  <c r="F2091" i="16" s="1"/>
  <c r="E2092" i="16"/>
  <c r="F2092" i="16" s="1"/>
  <c r="E2093" i="16"/>
  <c r="F2093" i="16" s="1"/>
  <c r="E2094" i="16"/>
  <c r="F2094" i="16" s="1"/>
  <c r="E2095" i="16"/>
  <c r="F2095" i="16" s="1"/>
  <c r="E2096" i="16"/>
  <c r="F2096" i="16" s="1"/>
  <c r="E2097" i="16"/>
  <c r="F2097" i="16" s="1"/>
  <c r="E2098" i="16"/>
  <c r="F2098" i="16" s="1"/>
  <c r="E2099" i="16"/>
  <c r="F2099" i="16" s="1"/>
  <c r="E2100" i="16"/>
  <c r="F2100" i="16" s="1"/>
  <c r="E2101" i="16"/>
  <c r="F2101" i="16" s="1"/>
  <c r="E2102" i="16"/>
  <c r="F2102" i="16" s="1"/>
  <c r="E2103" i="16"/>
  <c r="F2103" i="16" s="1"/>
  <c r="E2104" i="16"/>
  <c r="F2104" i="16" s="1"/>
  <c r="E2105" i="16"/>
  <c r="F2105" i="16" s="1"/>
  <c r="E2106" i="16"/>
  <c r="F2106" i="16" s="1"/>
  <c r="E2107" i="16"/>
  <c r="F2107" i="16" s="1"/>
  <c r="E2108" i="16"/>
  <c r="F2108" i="16" s="1"/>
  <c r="E2109" i="16"/>
  <c r="F2109" i="16" s="1"/>
  <c r="E2110" i="16"/>
  <c r="F2110" i="16" s="1"/>
  <c r="E2111" i="16"/>
  <c r="F2111" i="16" s="1"/>
  <c r="E2112" i="16"/>
  <c r="F2112" i="16" s="1"/>
  <c r="E2113" i="16"/>
  <c r="F2113" i="16" s="1"/>
  <c r="E2114" i="16"/>
  <c r="F2114" i="16" s="1"/>
  <c r="E2115" i="16"/>
  <c r="F2115" i="16" s="1"/>
  <c r="E2116" i="16"/>
  <c r="F2116" i="16" s="1"/>
  <c r="E2117" i="16"/>
  <c r="F2117" i="16" s="1"/>
  <c r="E2118" i="16"/>
  <c r="F2118" i="16" s="1"/>
  <c r="E2119" i="16"/>
  <c r="F2119" i="16" s="1"/>
  <c r="E2120" i="16"/>
  <c r="F2120" i="16" s="1"/>
  <c r="E2121" i="16"/>
  <c r="F2121" i="16" s="1"/>
  <c r="E2122" i="16"/>
  <c r="F2122" i="16" s="1"/>
  <c r="E2123" i="16"/>
  <c r="F2123" i="16" s="1"/>
  <c r="E2124" i="16"/>
  <c r="F2124" i="16" s="1"/>
  <c r="E2125" i="16"/>
  <c r="F2125" i="16" s="1"/>
  <c r="E2126" i="16"/>
  <c r="F2126" i="16" s="1"/>
  <c r="E2127" i="16"/>
  <c r="F2127" i="16" s="1"/>
  <c r="E2128" i="16"/>
  <c r="F2128" i="16" s="1"/>
  <c r="E2129" i="16"/>
  <c r="F2129" i="16" s="1"/>
  <c r="E2130" i="16"/>
  <c r="F2130" i="16" s="1"/>
  <c r="E2131" i="16"/>
  <c r="F2131" i="16" s="1"/>
  <c r="E2132" i="16"/>
  <c r="F2132" i="16" s="1"/>
  <c r="E2133" i="16"/>
  <c r="F2133" i="16" s="1"/>
  <c r="E2134" i="16"/>
  <c r="F2134" i="16" s="1"/>
  <c r="E2135" i="16"/>
  <c r="F2135" i="16" s="1"/>
  <c r="E2136" i="16"/>
  <c r="F2136" i="16" s="1"/>
  <c r="E2137" i="16"/>
  <c r="F2137" i="16" s="1"/>
  <c r="E2138" i="16"/>
  <c r="F2138" i="16" s="1"/>
  <c r="E2139" i="16"/>
  <c r="F2139" i="16" s="1"/>
  <c r="E2140" i="16"/>
  <c r="F2140" i="16" s="1"/>
  <c r="E2141" i="16"/>
  <c r="F2141" i="16" s="1"/>
  <c r="E2142" i="16"/>
  <c r="F2142" i="16" s="1"/>
  <c r="E2143" i="16"/>
  <c r="F2143" i="16" s="1"/>
  <c r="E2144" i="16"/>
  <c r="F2144" i="16" s="1"/>
  <c r="E2145" i="16"/>
  <c r="F2145" i="16" s="1"/>
  <c r="E2146" i="16"/>
  <c r="F2146" i="16" s="1"/>
  <c r="E2147" i="16"/>
  <c r="F2147" i="16" s="1"/>
  <c r="E2148" i="16"/>
  <c r="F2148" i="16" s="1"/>
  <c r="E2149" i="16"/>
  <c r="F2149" i="16" s="1"/>
  <c r="E2150" i="16"/>
  <c r="F2150" i="16" s="1"/>
  <c r="E2151" i="16"/>
  <c r="F2151" i="16" s="1"/>
  <c r="E2152" i="16"/>
  <c r="F2152" i="16" s="1"/>
  <c r="E2153" i="16"/>
  <c r="F2153" i="16" s="1"/>
  <c r="E2154" i="16"/>
  <c r="F2154" i="16" s="1"/>
  <c r="E2155" i="16"/>
  <c r="F2155" i="16" s="1"/>
  <c r="E2156" i="16"/>
  <c r="F2156" i="16" s="1"/>
  <c r="E2157" i="16"/>
  <c r="F2157" i="16" s="1"/>
  <c r="E2158" i="16"/>
  <c r="F2158" i="16" s="1"/>
  <c r="E2159" i="16"/>
  <c r="F2159" i="16" s="1"/>
  <c r="E2160" i="16"/>
  <c r="F2160" i="16" s="1"/>
  <c r="E2161" i="16"/>
  <c r="F2161" i="16" s="1"/>
  <c r="E2162" i="16"/>
  <c r="F2162" i="16" s="1"/>
  <c r="E2163" i="16"/>
  <c r="F2163" i="16" s="1"/>
  <c r="E2164" i="16"/>
  <c r="F2164" i="16" s="1"/>
  <c r="E2165" i="16"/>
  <c r="F2165" i="16" s="1"/>
  <c r="E2166" i="16"/>
  <c r="F2166" i="16" s="1"/>
  <c r="E2167" i="16"/>
  <c r="F2167" i="16" s="1"/>
  <c r="E2168" i="16"/>
  <c r="F2168" i="16" s="1"/>
  <c r="E2169" i="16"/>
  <c r="F2169" i="16" s="1"/>
  <c r="E2170" i="16"/>
  <c r="F2170" i="16" s="1"/>
  <c r="E2171" i="16"/>
  <c r="F2171" i="16" s="1"/>
  <c r="E2172" i="16"/>
  <c r="F2172" i="16" s="1"/>
  <c r="E2173" i="16"/>
  <c r="F2173" i="16" s="1"/>
  <c r="E2174" i="16"/>
  <c r="F2174" i="16" s="1"/>
  <c r="E2175" i="16"/>
  <c r="F2175" i="16" s="1"/>
  <c r="E2176" i="16"/>
  <c r="F2176" i="16" s="1"/>
  <c r="E2177" i="16"/>
  <c r="F2177" i="16" s="1"/>
  <c r="E2178" i="16"/>
  <c r="F2178" i="16" s="1"/>
  <c r="E2179" i="16"/>
  <c r="F2179" i="16" s="1"/>
  <c r="E2180" i="16"/>
  <c r="F2180" i="16" s="1"/>
  <c r="E2181" i="16"/>
  <c r="F2181" i="16" s="1"/>
  <c r="E2182" i="16"/>
  <c r="F2182" i="16" s="1"/>
  <c r="E2183" i="16"/>
  <c r="F2183" i="16" s="1"/>
  <c r="E2184" i="16"/>
  <c r="F2184" i="16" s="1"/>
  <c r="E2185" i="16"/>
  <c r="F2185" i="16" s="1"/>
  <c r="E2186" i="16"/>
  <c r="F2186" i="16" s="1"/>
  <c r="E2187" i="16"/>
  <c r="F2187" i="16" s="1"/>
  <c r="E2188" i="16"/>
  <c r="F2188" i="16" s="1"/>
  <c r="E2189" i="16"/>
  <c r="F2189" i="16" s="1"/>
  <c r="E2190" i="16"/>
  <c r="F2190" i="16" s="1"/>
  <c r="E2191" i="16"/>
  <c r="F2191" i="16" s="1"/>
  <c r="E2192" i="16"/>
  <c r="F2192" i="16" s="1"/>
  <c r="E2193" i="16"/>
  <c r="F2193" i="16" s="1"/>
  <c r="E2194" i="16"/>
  <c r="F2194" i="16" s="1"/>
  <c r="E2195" i="16"/>
  <c r="F2195" i="16" s="1"/>
  <c r="E2196" i="16"/>
  <c r="F2196" i="16" s="1"/>
  <c r="E2197" i="16"/>
  <c r="F2197" i="16" s="1"/>
  <c r="E2198" i="16"/>
  <c r="F2198" i="16" s="1"/>
  <c r="E2199" i="16"/>
  <c r="F2199" i="16" s="1"/>
  <c r="E2200" i="16"/>
  <c r="F2200" i="16" s="1"/>
  <c r="E2201" i="16"/>
  <c r="F2201" i="16" s="1"/>
  <c r="E2202" i="16"/>
  <c r="F2202" i="16" s="1"/>
  <c r="E2203" i="16"/>
  <c r="F2203" i="16" s="1"/>
  <c r="E2204" i="16"/>
  <c r="F2204" i="16" s="1"/>
  <c r="E2205" i="16"/>
  <c r="F2205" i="16" s="1"/>
  <c r="E2206" i="16"/>
  <c r="F2206" i="16" s="1"/>
  <c r="E2207" i="16"/>
  <c r="F2207" i="16" s="1"/>
  <c r="E2208" i="16"/>
  <c r="F2208" i="16" s="1"/>
  <c r="E2209" i="16"/>
  <c r="F2209" i="16" s="1"/>
  <c r="E2210" i="16"/>
  <c r="F2210" i="16" s="1"/>
  <c r="E2211" i="16"/>
  <c r="F2211" i="16" s="1"/>
  <c r="E2212" i="16"/>
  <c r="F2212" i="16" s="1"/>
  <c r="E2213" i="16"/>
  <c r="F2213" i="16" s="1"/>
  <c r="E2214" i="16"/>
  <c r="F2214" i="16" s="1"/>
  <c r="E2215" i="16"/>
  <c r="F2215" i="16" s="1"/>
  <c r="E2216" i="16"/>
  <c r="F2216" i="16" s="1"/>
  <c r="E2217" i="16"/>
  <c r="F2217" i="16" s="1"/>
  <c r="E2218" i="16"/>
  <c r="F2218" i="16" s="1"/>
  <c r="E2219" i="16"/>
  <c r="F2219" i="16" s="1"/>
  <c r="E2220" i="16"/>
  <c r="F2220" i="16" s="1"/>
  <c r="E2221" i="16"/>
  <c r="F2221" i="16" s="1"/>
  <c r="E2222" i="16"/>
  <c r="F2222" i="16" s="1"/>
  <c r="E2223" i="16"/>
  <c r="F2223" i="16" s="1"/>
  <c r="E2224" i="16"/>
  <c r="F2224" i="16" s="1"/>
  <c r="E2225" i="16"/>
  <c r="F2225" i="16" s="1"/>
  <c r="E2226" i="16"/>
  <c r="F2226" i="16" s="1"/>
  <c r="E2227" i="16"/>
  <c r="F2227" i="16" s="1"/>
  <c r="E2228" i="16"/>
  <c r="F2228" i="16" s="1"/>
  <c r="E2229" i="16"/>
  <c r="F2229" i="16" s="1"/>
  <c r="E2230" i="16"/>
  <c r="F2230" i="16" s="1"/>
  <c r="E2231" i="16"/>
  <c r="F2231" i="16" s="1"/>
  <c r="E2232" i="16"/>
  <c r="F2232" i="16" s="1"/>
  <c r="E2233" i="16"/>
  <c r="F2233" i="16" s="1"/>
  <c r="E2234" i="16"/>
  <c r="F2234" i="16" s="1"/>
  <c r="E2235" i="16"/>
  <c r="F2235" i="16" s="1"/>
  <c r="E2236" i="16"/>
  <c r="F2236" i="16" s="1"/>
  <c r="E2237" i="16"/>
  <c r="F2237" i="16" s="1"/>
  <c r="E2238" i="16"/>
  <c r="F2238" i="16" s="1"/>
  <c r="E2239" i="16"/>
  <c r="F2239" i="16" s="1"/>
  <c r="E2240" i="16"/>
  <c r="F2240" i="16" s="1"/>
  <c r="E2241" i="16"/>
  <c r="F2241" i="16" s="1"/>
  <c r="E2242" i="16"/>
  <c r="F2242" i="16" s="1"/>
  <c r="E2243" i="16"/>
  <c r="F2243" i="16" s="1"/>
  <c r="E2244" i="16"/>
  <c r="F2244" i="16" s="1"/>
  <c r="E2245" i="16"/>
  <c r="F2245" i="16" s="1"/>
  <c r="E2246" i="16"/>
  <c r="F2246" i="16" s="1"/>
  <c r="E2247" i="16"/>
  <c r="F2247" i="16" s="1"/>
  <c r="E2248" i="16"/>
  <c r="F2248" i="16" s="1"/>
  <c r="E2249" i="16"/>
  <c r="F2249" i="16" s="1"/>
  <c r="E2250" i="16"/>
  <c r="F2250" i="16" s="1"/>
  <c r="E2251" i="16"/>
  <c r="F2251" i="16" s="1"/>
  <c r="E2252" i="16"/>
  <c r="F2252" i="16" s="1"/>
  <c r="E2253" i="16"/>
  <c r="F2253" i="16" s="1"/>
  <c r="E2254" i="16"/>
  <c r="F2254" i="16" s="1"/>
  <c r="E2255" i="16"/>
  <c r="F2255" i="16" s="1"/>
  <c r="E2256" i="16"/>
  <c r="F2256" i="16" s="1"/>
  <c r="E2257" i="16"/>
  <c r="F2257" i="16" s="1"/>
  <c r="E2258" i="16"/>
  <c r="F2258" i="16" s="1"/>
  <c r="E2259" i="16"/>
  <c r="F2259" i="16" s="1"/>
  <c r="E2260" i="16"/>
  <c r="F2260" i="16" s="1"/>
  <c r="E2261" i="16"/>
  <c r="F2261" i="16" s="1"/>
  <c r="E2262" i="16"/>
  <c r="F2262" i="16" s="1"/>
  <c r="E2263" i="16"/>
  <c r="F2263" i="16" s="1"/>
  <c r="E2264" i="16"/>
  <c r="F2264" i="16" s="1"/>
  <c r="E2265" i="16"/>
  <c r="F2265" i="16" s="1"/>
  <c r="E2266" i="16"/>
  <c r="F2266" i="16" s="1"/>
  <c r="E2267" i="16"/>
  <c r="F2267" i="16" s="1"/>
  <c r="E2268" i="16"/>
  <c r="F2268" i="16" s="1"/>
  <c r="E2269" i="16"/>
  <c r="F2269" i="16" s="1"/>
  <c r="E2270" i="16"/>
  <c r="F2270" i="16" s="1"/>
  <c r="E2271" i="16"/>
  <c r="F2271" i="16" s="1"/>
  <c r="E2272" i="16"/>
  <c r="F2272" i="16" s="1"/>
  <c r="E2273" i="16"/>
  <c r="F2273" i="16" s="1"/>
  <c r="E2274" i="16"/>
  <c r="F2274" i="16" s="1"/>
  <c r="E2275" i="16"/>
  <c r="F2275" i="16" s="1"/>
  <c r="E2276" i="16"/>
  <c r="F2276" i="16" s="1"/>
  <c r="E2277" i="16"/>
  <c r="F2277" i="16" s="1"/>
  <c r="E2278" i="16"/>
  <c r="F2278" i="16" s="1"/>
  <c r="E2279" i="16"/>
  <c r="F2279" i="16" s="1"/>
  <c r="E2280" i="16"/>
  <c r="F2280" i="16" s="1"/>
  <c r="E2281" i="16"/>
  <c r="F2281" i="16" s="1"/>
  <c r="E2282" i="16"/>
  <c r="F2282" i="16" s="1"/>
  <c r="E2283" i="16"/>
  <c r="F2283" i="16" s="1"/>
  <c r="E2284" i="16"/>
  <c r="F2284" i="16" s="1"/>
  <c r="E2285" i="16"/>
  <c r="F2285" i="16" s="1"/>
  <c r="E2286" i="16"/>
  <c r="F2286" i="16" s="1"/>
  <c r="E2287" i="16"/>
  <c r="F2287" i="16" s="1"/>
  <c r="E2288" i="16"/>
  <c r="F2288" i="16" s="1"/>
  <c r="E2289" i="16"/>
  <c r="F2289" i="16" s="1"/>
  <c r="E2290" i="16"/>
  <c r="F2290" i="16" s="1"/>
  <c r="E2291" i="16"/>
  <c r="F2291" i="16" s="1"/>
  <c r="E2292" i="16"/>
  <c r="F2292" i="16" s="1"/>
  <c r="E2293" i="16"/>
  <c r="F2293" i="16" s="1"/>
  <c r="E2294" i="16"/>
  <c r="F2294" i="16" s="1"/>
  <c r="E2295" i="16"/>
  <c r="F2295" i="16" s="1"/>
  <c r="E2296" i="16"/>
  <c r="F2296" i="16" s="1"/>
  <c r="E2297" i="16"/>
  <c r="F2297" i="16" s="1"/>
  <c r="E2298" i="16"/>
  <c r="F2298" i="16" s="1"/>
  <c r="E2299" i="16"/>
  <c r="F2299" i="16" s="1"/>
  <c r="E2300" i="16"/>
  <c r="F2300" i="16" s="1"/>
  <c r="E2301" i="16"/>
  <c r="F2301" i="16" s="1"/>
  <c r="E2302" i="16"/>
  <c r="F2302" i="16" s="1"/>
  <c r="E2303" i="16"/>
  <c r="F2303" i="16" s="1"/>
  <c r="E2304" i="16"/>
  <c r="F2304" i="16" s="1"/>
  <c r="E2305" i="16"/>
  <c r="F2305" i="16" s="1"/>
  <c r="E2306" i="16"/>
  <c r="F2306" i="16" s="1"/>
  <c r="E2307" i="16"/>
  <c r="F2307" i="16" s="1"/>
  <c r="E2308" i="16"/>
  <c r="F2308" i="16" s="1"/>
  <c r="E2309" i="16"/>
  <c r="F2309" i="16" s="1"/>
  <c r="E2310" i="16"/>
  <c r="F2310" i="16" s="1"/>
  <c r="E2311" i="16"/>
  <c r="F2311" i="16" s="1"/>
  <c r="E2312" i="16"/>
  <c r="F2312" i="16" s="1"/>
  <c r="E2313" i="16"/>
  <c r="F2313" i="16" s="1"/>
  <c r="E2314" i="16"/>
  <c r="F2314" i="16" s="1"/>
  <c r="E2315" i="16"/>
  <c r="F2315" i="16" s="1"/>
  <c r="E2316" i="16"/>
  <c r="F2316" i="16" s="1"/>
  <c r="E2317" i="16"/>
  <c r="F2317" i="16" s="1"/>
  <c r="E2318" i="16"/>
  <c r="F2318" i="16" s="1"/>
  <c r="E2319" i="16"/>
  <c r="F2319" i="16" s="1"/>
  <c r="E2320" i="16"/>
  <c r="F2320" i="16" s="1"/>
  <c r="E2321" i="16"/>
  <c r="F2321" i="16" s="1"/>
  <c r="E2322" i="16"/>
  <c r="F2322" i="16" s="1"/>
  <c r="E2323" i="16"/>
  <c r="F2323" i="16" s="1"/>
  <c r="E2324" i="16"/>
  <c r="F2324" i="16" s="1"/>
  <c r="E2325" i="16"/>
  <c r="F2325" i="16" s="1"/>
  <c r="E2326" i="16"/>
  <c r="F2326" i="16" s="1"/>
  <c r="E2327" i="16"/>
  <c r="F2327" i="16" s="1"/>
  <c r="E2328" i="16"/>
  <c r="F2328" i="16" s="1"/>
  <c r="E2329" i="16"/>
  <c r="F2329" i="16" s="1"/>
  <c r="E2330" i="16"/>
  <c r="F2330" i="16" s="1"/>
  <c r="E2331" i="16"/>
  <c r="F2331" i="16" s="1"/>
  <c r="E2332" i="16"/>
  <c r="F2332" i="16" s="1"/>
  <c r="E2333" i="16"/>
  <c r="F2333" i="16" s="1"/>
  <c r="E2334" i="16"/>
  <c r="F2334" i="16" s="1"/>
  <c r="E2335" i="16"/>
  <c r="F2335" i="16" s="1"/>
  <c r="E2336" i="16"/>
  <c r="F2336" i="16" s="1"/>
  <c r="E2337" i="16"/>
  <c r="F2337" i="16" s="1"/>
  <c r="E2338" i="16"/>
  <c r="F2338" i="16" s="1"/>
  <c r="E2339" i="16"/>
  <c r="F2339" i="16" s="1"/>
  <c r="E2340" i="16"/>
  <c r="F2340" i="16" s="1"/>
  <c r="E2341" i="16"/>
  <c r="F2341" i="16" s="1"/>
  <c r="E2342" i="16"/>
  <c r="F2342" i="16" s="1"/>
  <c r="E2343" i="16"/>
  <c r="F2343" i="16" s="1"/>
  <c r="E2344" i="16"/>
  <c r="F2344" i="16" s="1"/>
  <c r="E2345" i="16"/>
  <c r="F2345" i="16" s="1"/>
  <c r="E2346" i="16"/>
  <c r="F2346" i="16" s="1"/>
  <c r="E2347" i="16"/>
  <c r="F2347" i="16" s="1"/>
  <c r="E2348" i="16"/>
  <c r="F2348" i="16" s="1"/>
  <c r="E2349" i="16"/>
  <c r="F2349" i="16" s="1"/>
  <c r="E2350" i="16"/>
  <c r="F2350" i="16" s="1"/>
  <c r="E2351" i="16"/>
  <c r="F2351" i="16" s="1"/>
  <c r="E2352" i="16"/>
  <c r="F2352" i="16" s="1"/>
  <c r="E2353" i="16"/>
  <c r="F2353" i="16" s="1"/>
  <c r="E2354" i="16"/>
  <c r="F2354" i="16" s="1"/>
  <c r="E2355" i="16"/>
  <c r="F2355" i="16" s="1"/>
  <c r="E2356" i="16"/>
  <c r="F2356" i="16" s="1"/>
  <c r="E2357" i="16"/>
  <c r="F2357" i="16" s="1"/>
  <c r="E2358" i="16"/>
  <c r="F2358" i="16" s="1"/>
  <c r="E2359" i="16"/>
  <c r="F2359" i="16" s="1"/>
  <c r="E2360" i="16"/>
  <c r="F2360" i="16" s="1"/>
  <c r="E2361" i="16"/>
  <c r="F2361" i="16" s="1"/>
  <c r="E2362" i="16"/>
  <c r="F2362" i="16" s="1"/>
  <c r="E2363" i="16"/>
  <c r="F2363" i="16" s="1"/>
  <c r="E2364" i="16"/>
  <c r="F2364" i="16" s="1"/>
  <c r="E2365" i="16"/>
  <c r="F2365" i="16" s="1"/>
  <c r="E2366" i="16"/>
  <c r="F2366" i="16" s="1"/>
  <c r="E2367" i="16"/>
  <c r="F2367" i="16" s="1"/>
  <c r="E2368" i="16"/>
  <c r="F2368" i="16" s="1"/>
  <c r="E2369" i="16"/>
  <c r="F2369" i="16" s="1"/>
  <c r="E2370" i="16"/>
  <c r="F2370" i="16" s="1"/>
  <c r="E2371" i="16"/>
  <c r="F2371" i="16" s="1"/>
  <c r="E2372" i="16"/>
  <c r="F2372" i="16" s="1"/>
  <c r="E2373" i="16"/>
  <c r="F2373" i="16" s="1"/>
  <c r="E2374" i="16"/>
  <c r="F2374" i="16" s="1"/>
  <c r="E2375" i="16"/>
  <c r="F2375" i="16" s="1"/>
  <c r="E2376" i="16"/>
  <c r="F2376" i="16" s="1"/>
  <c r="E2377" i="16"/>
  <c r="F2377" i="16" s="1"/>
  <c r="E2378" i="16"/>
  <c r="F2378" i="16" s="1"/>
  <c r="E2379" i="16"/>
  <c r="F2379" i="16" s="1"/>
  <c r="E2380" i="16"/>
  <c r="F2380" i="16" s="1"/>
  <c r="E2381" i="16"/>
  <c r="F2381" i="16" s="1"/>
  <c r="E2382" i="16"/>
  <c r="F2382" i="16" s="1"/>
  <c r="E2383" i="16"/>
  <c r="F2383" i="16" s="1"/>
  <c r="E2384" i="16"/>
  <c r="F2384" i="16" s="1"/>
  <c r="E2385" i="16"/>
  <c r="F2385" i="16" s="1"/>
  <c r="E2386" i="16"/>
  <c r="F2386" i="16" s="1"/>
  <c r="E2387" i="16"/>
  <c r="F2387" i="16" s="1"/>
  <c r="E2388" i="16"/>
  <c r="F2388" i="16" s="1"/>
  <c r="E2389" i="16"/>
  <c r="F2389" i="16" s="1"/>
  <c r="E2390" i="16"/>
  <c r="F2390" i="16" s="1"/>
  <c r="E2391" i="16"/>
  <c r="F2391" i="16" s="1"/>
  <c r="E2392" i="16"/>
  <c r="F2392" i="16" s="1"/>
  <c r="E2393" i="16"/>
  <c r="F2393" i="16" s="1"/>
  <c r="E2394" i="16"/>
  <c r="F2394" i="16" s="1"/>
  <c r="E2395" i="16"/>
  <c r="F2395" i="16" s="1"/>
  <c r="E2396" i="16"/>
  <c r="F2396" i="16" s="1"/>
  <c r="E2397" i="16"/>
  <c r="F2397" i="16" s="1"/>
  <c r="E2398" i="16"/>
  <c r="F2398" i="16" s="1"/>
  <c r="E2399" i="16"/>
  <c r="F2399" i="16" s="1"/>
  <c r="E2400" i="16"/>
  <c r="F2400" i="16" s="1"/>
  <c r="E2401" i="16"/>
  <c r="F2401" i="16" s="1"/>
  <c r="E2402" i="16"/>
  <c r="F2402" i="16" s="1"/>
  <c r="E2403" i="16"/>
  <c r="F2403" i="16" s="1"/>
  <c r="E2404" i="16"/>
  <c r="F2404" i="16" s="1"/>
  <c r="E2405" i="16"/>
  <c r="F2405" i="16" s="1"/>
  <c r="E2406" i="16"/>
  <c r="F2406" i="16" s="1"/>
  <c r="E2407" i="16"/>
  <c r="F2407" i="16" s="1"/>
  <c r="E2408" i="16"/>
  <c r="F2408" i="16" s="1"/>
  <c r="E2409" i="16"/>
  <c r="F2409" i="16" s="1"/>
  <c r="E2410" i="16"/>
  <c r="F2410" i="16" s="1"/>
  <c r="E2411" i="16"/>
  <c r="F2411" i="16" s="1"/>
  <c r="E2412" i="16"/>
  <c r="F2412" i="16" s="1"/>
  <c r="E2413" i="16"/>
  <c r="F2413" i="16" s="1"/>
  <c r="E2414" i="16"/>
  <c r="F2414" i="16" s="1"/>
  <c r="E2415" i="16"/>
  <c r="F2415" i="16" s="1"/>
  <c r="E2416" i="16"/>
  <c r="F2416" i="16" s="1"/>
  <c r="E2417" i="16"/>
  <c r="F2417" i="16" s="1"/>
  <c r="E2418" i="16"/>
  <c r="F2418" i="16" s="1"/>
  <c r="E2419" i="16"/>
  <c r="F2419" i="16" s="1"/>
  <c r="E2420" i="16"/>
  <c r="F2420" i="16" s="1"/>
  <c r="E2421" i="16"/>
  <c r="F2421" i="16" s="1"/>
  <c r="E2422" i="16"/>
  <c r="F2422" i="16" s="1"/>
  <c r="E2423" i="16"/>
  <c r="F2423" i="16" s="1"/>
  <c r="E2424" i="16"/>
  <c r="F2424" i="16" s="1"/>
  <c r="E2425" i="16"/>
  <c r="F2425" i="16" s="1"/>
  <c r="E2426" i="16"/>
  <c r="F2426" i="16" s="1"/>
  <c r="E2427" i="16"/>
  <c r="F2427" i="16" s="1"/>
  <c r="E2428" i="16"/>
  <c r="F2428" i="16" s="1"/>
  <c r="E2429" i="16"/>
  <c r="F2429" i="16" s="1"/>
  <c r="E2430" i="16"/>
  <c r="F2430" i="16" s="1"/>
  <c r="E2431" i="16"/>
  <c r="F2431" i="16" s="1"/>
  <c r="E2432" i="16"/>
  <c r="F2432" i="16" s="1"/>
  <c r="E2433" i="16"/>
  <c r="F2433" i="16" s="1"/>
  <c r="E2434" i="16"/>
  <c r="F2434" i="16" s="1"/>
  <c r="E2435" i="16"/>
  <c r="F2435" i="16" s="1"/>
  <c r="E2436" i="16"/>
  <c r="F2436" i="16" s="1"/>
  <c r="E2437" i="16"/>
  <c r="F2437" i="16" s="1"/>
  <c r="E2438" i="16"/>
  <c r="F2438" i="16" s="1"/>
  <c r="E2439" i="16"/>
  <c r="F2439" i="16" s="1"/>
  <c r="E2440" i="16"/>
  <c r="F2440" i="16" s="1"/>
  <c r="E2441" i="16"/>
  <c r="F2441" i="16" s="1"/>
  <c r="E2442" i="16"/>
  <c r="F2442" i="16" s="1"/>
  <c r="E2443" i="16"/>
  <c r="F2443" i="16" s="1"/>
  <c r="E2444" i="16"/>
  <c r="F2444" i="16" s="1"/>
  <c r="E2445" i="16"/>
  <c r="F2445" i="16" s="1"/>
  <c r="E2446" i="16"/>
  <c r="F2446" i="16" s="1"/>
  <c r="E2447" i="16"/>
  <c r="F2447" i="16" s="1"/>
  <c r="E2448" i="16"/>
  <c r="F2448" i="16" s="1"/>
  <c r="E2449" i="16"/>
  <c r="F2449" i="16" s="1"/>
  <c r="E2450" i="16"/>
  <c r="F2450" i="16" s="1"/>
  <c r="E2451" i="16"/>
  <c r="F2451" i="16" s="1"/>
  <c r="E2452" i="16"/>
  <c r="F2452" i="16" s="1"/>
  <c r="E2453" i="16"/>
  <c r="F2453" i="16" s="1"/>
  <c r="E2454" i="16"/>
  <c r="F2454" i="16" s="1"/>
  <c r="E2455" i="16"/>
  <c r="F2455" i="16" s="1"/>
  <c r="E2456" i="16"/>
  <c r="F2456" i="16" s="1"/>
  <c r="E2457" i="16"/>
  <c r="F2457" i="16" s="1"/>
  <c r="E2458" i="16"/>
  <c r="F2458" i="16" s="1"/>
  <c r="E2459" i="16"/>
  <c r="F2459" i="16" s="1"/>
  <c r="E2460" i="16"/>
  <c r="F2460" i="16" s="1"/>
  <c r="E2461" i="16"/>
  <c r="F2461" i="16" s="1"/>
  <c r="E2462" i="16"/>
  <c r="F2462" i="16" s="1"/>
  <c r="E2463" i="16"/>
  <c r="F2463" i="16" s="1"/>
  <c r="E2464" i="16"/>
  <c r="F2464" i="16" s="1"/>
  <c r="E2465" i="16"/>
  <c r="F2465" i="16" s="1"/>
  <c r="E2466" i="16"/>
  <c r="F2466" i="16" s="1"/>
  <c r="E2467" i="16"/>
  <c r="F2467" i="16" s="1"/>
  <c r="E2468" i="16"/>
  <c r="F2468" i="16" s="1"/>
  <c r="E2469" i="16"/>
  <c r="F2469" i="16" s="1"/>
  <c r="E2470" i="16"/>
  <c r="F2470" i="16" s="1"/>
  <c r="E2471" i="16"/>
  <c r="F2471" i="16" s="1"/>
  <c r="E2472" i="16"/>
  <c r="F2472" i="16" s="1"/>
  <c r="E2473" i="16"/>
  <c r="F2473" i="16" s="1"/>
  <c r="E2474" i="16"/>
  <c r="F2474" i="16" s="1"/>
  <c r="E2475" i="16"/>
  <c r="F2475" i="16" s="1"/>
  <c r="E2476" i="16"/>
  <c r="F2476" i="16" s="1"/>
  <c r="E2477" i="16"/>
  <c r="F2477" i="16" s="1"/>
  <c r="E2478" i="16"/>
  <c r="F2478" i="16" s="1"/>
  <c r="E2479" i="16"/>
  <c r="F2479" i="16" s="1"/>
  <c r="E2480" i="16"/>
  <c r="F2480" i="16" s="1"/>
  <c r="E2481" i="16"/>
  <c r="F2481" i="16" s="1"/>
  <c r="E2482" i="16"/>
  <c r="F2482" i="16" s="1"/>
  <c r="E2483" i="16"/>
  <c r="F2483" i="16" s="1"/>
  <c r="E2484" i="16"/>
  <c r="F2484" i="16" s="1"/>
  <c r="E2485" i="16"/>
  <c r="F2485" i="16" s="1"/>
  <c r="E2486" i="16"/>
  <c r="F2486" i="16" s="1"/>
  <c r="E2487" i="16"/>
  <c r="F2487" i="16" s="1"/>
  <c r="E2488" i="16"/>
  <c r="F2488" i="16" s="1"/>
  <c r="E2489" i="16"/>
  <c r="F2489" i="16" s="1"/>
  <c r="E2490" i="16"/>
  <c r="F2490" i="16" s="1"/>
  <c r="E2491" i="16"/>
  <c r="F2491" i="16" s="1"/>
  <c r="E2492" i="16"/>
  <c r="F2492" i="16" s="1"/>
  <c r="E2493" i="16"/>
  <c r="F2493" i="16" s="1"/>
  <c r="E2494" i="16"/>
  <c r="F2494" i="16" s="1"/>
  <c r="E2495" i="16"/>
  <c r="F2495" i="16" s="1"/>
  <c r="E2496" i="16"/>
  <c r="F2496" i="16" s="1"/>
  <c r="E2497" i="16"/>
  <c r="F2497" i="16" s="1"/>
  <c r="E2498" i="16"/>
  <c r="F2498" i="16" s="1"/>
  <c r="E2499" i="16"/>
  <c r="F2499" i="16" s="1"/>
  <c r="E2500" i="16"/>
  <c r="F2500" i="16" s="1"/>
  <c r="E2501" i="16"/>
  <c r="F2501" i="16" s="1"/>
  <c r="E2502" i="16"/>
  <c r="F2502" i="16" s="1"/>
  <c r="E2503" i="16"/>
  <c r="F2503" i="16" s="1"/>
  <c r="E2504" i="16"/>
  <c r="F2504" i="16" s="1"/>
  <c r="E2505" i="16"/>
  <c r="F2505" i="16" s="1"/>
  <c r="E2506" i="16"/>
  <c r="F2506" i="16" s="1"/>
  <c r="E2507" i="16"/>
  <c r="F2507" i="16" s="1"/>
  <c r="E2508" i="16"/>
  <c r="F2508" i="16" s="1"/>
  <c r="E2509" i="16"/>
  <c r="F2509" i="16" s="1"/>
  <c r="E2510" i="16"/>
  <c r="F2510" i="16" s="1"/>
  <c r="I24" i="16" l="1" a="1"/>
  <c r="I24" i="16" s="1"/>
  <c r="I13" i="16" a="1"/>
  <c r="I13" i="16" s="1"/>
  <c r="I31" i="16" a="1"/>
  <c r="I31" i="16" s="1"/>
  <c r="I8" i="16" a="1"/>
  <c r="I8" i="16" s="1"/>
  <c r="I10" i="16" a="1"/>
  <c r="I10" i="16" s="1"/>
  <c r="I17" i="16" a="1"/>
  <c r="I17" i="16" s="1"/>
  <c r="I42" i="16" a="1"/>
  <c r="I42" i="16" s="1"/>
  <c r="I12" i="16" a="1"/>
  <c r="I12" i="16" s="1"/>
  <c r="I22" i="16" a="1"/>
  <c r="I22" i="16" s="1"/>
  <c r="I4" i="16" a="1"/>
  <c r="I4" i="16" s="1"/>
  <c r="I20" i="16" a="1"/>
  <c r="I20" i="16" s="1"/>
  <c r="I9" i="16" a="1"/>
  <c r="I9" i="16" s="1"/>
  <c r="I25" i="16" a="1"/>
  <c r="I25" i="16" s="1"/>
  <c r="I34" i="16" a="1"/>
  <c r="I34" i="16" s="1"/>
  <c r="J28" i="16" a="1"/>
  <c r="J28" i="16" s="1"/>
  <c r="J13" i="16" a="1"/>
  <c r="J13" i="16" s="1"/>
  <c r="J3" i="16" a="1"/>
  <c r="J3" i="16" s="1"/>
  <c r="J7" i="16" a="1"/>
  <c r="J7" i="16" s="1"/>
  <c r="J14" i="16" a="1"/>
  <c r="J14" i="16" s="1"/>
  <c r="J30" i="16" a="1"/>
  <c r="J30" i="16" s="1"/>
  <c r="J17" i="16" a="1"/>
  <c r="J17" i="16" s="1"/>
  <c r="J18" i="16" a="1"/>
  <c r="J18" i="16" s="1"/>
  <c r="J36" i="16" a="1"/>
  <c r="J36" i="16" s="1"/>
  <c r="J16" i="16" a="1"/>
  <c r="J16" i="16" s="1"/>
  <c r="J10" i="16" a="1"/>
  <c r="J10" i="16" s="1"/>
  <c r="J20" i="16" a="1"/>
  <c r="J20" i="16" s="1"/>
  <c r="J35" i="16" a="1"/>
  <c r="J35" i="16" s="1"/>
  <c r="J5" i="16" a="1"/>
  <c r="J5" i="16" s="1"/>
  <c r="J4" i="16" a="1"/>
  <c r="J4" i="16" s="1"/>
  <c r="J31" i="16" a="1"/>
  <c r="J31" i="16" s="1"/>
  <c r="J22" i="16" a="1"/>
  <c r="J22" i="16" s="1"/>
  <c r="J21" i="16" a="1"/>
  <c r="J21" i="16" s="1"/>
  <c r="J27" i="16" a="1"/>
  <c r="J27" i="16" s="1"/>
  <c r="K8" i="16" a="1"/>
  <c r="K8" i="16" s="1"/>
  <c r="K11" i="16" a="1"/>
  <c r="K11" i="16" s="1"/>
  <c r="K38" i="16" a="1"/>
  <c r="K38" i="16" s="1"/>
  <c r="K25" i="16" a="1"/>
  <c r="K25" i="16" s="1"/>
  <c r="K19" i="16" a="1"/>
  <c r="K19" i="16" s="1"/>
  <c r="K30" i="16" a="1"/>
  <c r="K30" i="16" s="1"/>
  <c r="K10" i="16" a="1"/>
  <c r="K10" i="16" s="1"/>
  <c r="K14" i="16" a="1"/>
  <c r="K14" i="16" s="1"/>
  <c r="K24" i="16" a="1"/>
  <c r="K24" i="16" s="1"/>
  <c r="K9" i="16" a="1"/>
  <c r="K9" i="16" s="1"/>
  <c r="K13" i="16" a="1"/>
  <c r="K13" i="16" s="1"/>
  <c r="K35" i="16" a="1"/>
  <c r="K35" i="16" s="1"/>
  <c r="K20" i="16" a="1"/>
  <c r="K20" i="16" s="1"/>
  <c r="K4" i="16" a="1"/>
  <c r="K4" i="16" s="1"/>
  <c r="K22" i="16" a="1"/>
  <c r="K22" i="16" s="1"/>
  <c r="K7" i="16" a="1"/>
  <c r="K7" i="16" s="1"/>
  <c r="K26" i="16" a="1"/>
  <c r="K26" i="16" s="1"/>
  <c r="K28" i="16" a="1"/>
  <c r="K28" i="16" s="1"/>
  <c r="K12" i="16" a="1"/>
  <c r="K12" i="16" s="1"/>
  <c r="L21" i="16" a="1"/>
  <c r="L21" i="16" s="1"/>
  <c r="L14" i="16" a="1"/>
  <c r="L14" i="16" s="1"/>
  <c r="L31" i="16" a="1"/>
  <c r="L31" i="16" s="1"/>
  <c r="L27" i="16" a="1"/>
  <c r="L27" i="16" s="1"/>
  <c r="L3" i="16" a="1"/>
  <c r="L3" i="16" s="1"/>
  <c r="L11" i="16" a="1"/>
  <c r="L11" i="16" s="1"/>
  <c r="L16" i="16" a="1"/>
  <c r="L16" i="16" s="1"/>
  <c r="L12" i="16" a="1"/>
  <c r="L12" i="16" s="1"/>
  <c r="L25" i="16" a="1"/>
  <c r="L25" i="16" s="1"/>
  <c r="L10" i="16" a="1"/>
  <c r="L10" i="16" s="1"/>
  <c r="L18" i="16" a="1"/>
  <c r="L18" i="16" s="1"/>
  <c r="L5" i="16" a="1"/>
  <c r="L5" i="16" s="1"/>
  <c r="L17" i="16" a="1"/>
  <c r="L17" i="16" s="1"/>
  <c r="L34" i="16" a="1"/>
  <c r="L34" i="16" s="1"/>
  <c r="L23" i="16" a="1"/>
  <c r="L23" i="16" s="1"/>
  <c r="L4" i="16" a="1"/>
  <c r="L4" i="16" s="1"/>
  <c r="L7" i="16" a="1"/>
  <c r="L7" i="16" s="1"/>
  <c r="L20" i="16" a="1"/>
  <c r="L20" i="16" s="1"/>
  <c r="L30" i="16" a="1"/>
  <c r="L30" i="16" s="1"/>
  <c r="M3" i="16" a="1"/>
  <c r="M3" i="16" s="1"/>
  <c r="M11" i="16" a="1"/>
  <c r="M11" i="16" s="1"/>
  <c r="M17" i="16" a="1"/>
  <c r="M17" i="16" s="1"/>
  <c r="M8" i="16" a="1"/>
  <c r="M8" i="16" s="1"/>
  <c r="M28" i="16" a="1"/>
  <c r="M28" i="16" s="1"/>
  <c r="M21" i="16" a="1"/>
  <c r="M21" i="16" s="1"/>
  <c r="M16" i="16" a="1"/>
  <c r="M16" i="16" s="1"/>
  <c r="M27" i="16" a="1"/>
  <c r="M27" i="16" s="1"/>
  <c r="M13" i="16" a="1"/>
  <c r="M13" i="16" s="1"/>
  <c r="M24" i="16" a="1"/>
  <c r="M24" i="16" s="1"/>
  <c r="M19" i="16" a="1"/>
  <c r="M19" i="16" s="1"/>
  <c r="M9" i="16" a="1"/>
  <c r="M9" i="16" s="1"/>
  <c r="M4" i="16" a="1"/>
  <c r="M4" i="16" s="1"/>
  <c r="M34" i="16" a="1"/>
  <c r="M34" i="16" s="1"/>
  <c r="M25" i="16" a="1"/>
  <c r="M25" i="16" s="1"/>
  <c r="M29" i="16" a="1"/>
  <c r="M29" i="16" s="1"/>
  <c r="M12" i="16" a="1"/>
  <c r="M12" i="16" s="1"/>
  <c r="M36" i="16" a="1"/>
  <c r="M36" i="16" s="1"/>
  <c r="M14" i="16" a="1"/>
  <c r="M14" i="16" s="1"/>
  <c r="M23" i="16" a="1"/>
  <c r="M23" i="16" s="1"/>
  <c r="N13" i="16" a="1"/>
  <c r="N13" i="16" s="1"/>
  <c r="N28" i="16" a="1"/>
  <c r="N28" i="16" s="1"/>
  <c r="N11" i="16" a="1"/>
  <c r="N11" i="16" s="1"/>
  <c r="N27" i="16" a="1"/>
  <c r="N27" i="16" s="1"/>
  <c r="N30" i="16" a="1"/>
  <c r="N30" i="16" s="1"/>
  <c r="N18" i="16" a="1"/>
  <c r="N18" i="16" s="1"/>
  <c r="N3" i="16" a="1"/>
  <c r="N3" i="16" s="1"/>
  <c r="N25" i="16" a="1"/>
  <c r="N25" i="16" s="1"/>
  <c r="N5" i="16" a="1"/>
  <c r="N5" i="16" s="1"/>
  <c r="N20" i="16" a="1"/>
  <c r="N20" i="16" s="1"/>
  <c r="N16" i="16" a="1"/>
  <c r="N16" i="16" s="1"/>
  <c r="N17" i="16" a="1"/>
  <c r="N17" i="16" s="1"/>
  <c r="N26" i="16" a="1"/>
  <c r="N26" i="16" s="1"/>
  <c r="N21" i="16" a="1"/>
  <c r="N21" i="16" s="1"/>
  <c r="O36" i="16" a="1"/>
  <c r="O36" i="16" s="1"/>
  <c r="O3" i="16" a="1"/>
  <c r="O3" i="16" s="1"/>
  <c r="O20" i="16" a="1"/>
  <c r="O20" i="16" s="1"/>
  <c r="O30" i="16" a="1"/>
  <c r="O30" i="16" s="1"/>
  <c r="P28" i="16" a="1"/>
  <c r="P28" i="16" s="1"/>
  <c r="P17" i="16" a="1"/>
  <c r="P17" i="16" s="1"/>
  <c r="P9" i="16" a="1"/>
  <c r="P9" i="16" s="1"/>
  <c r="P14" i="16" a="1"/>
  <c r="P14" i="16" s="1"/>
  <c r="P27" i="16" a="1"/>
  <c r="P27" i="16" s="1"/>
  <c r="P13" i="16" a="1"/>
  <c r="P13" i="16" s="1"/>
  <c r="P24" i="16" a="1"/>
  <c r="P24" i="16" s="1"/>
  <c r="P25" i="16" a="1"/>
  <c r="P25" i="16" s="1"/>
  <c r="P34" i="16" a="1"/>
  <c r="P34" i="16" s="1"/>
  <c r="Q13" i="16" a="1"/>
  <c r="Q13" i="16" s="1"/>
  <c r="Q14" i="16" a="1"/>
  <c r="Q14" i="16" s="1"/>
  <c r="Q28" i="16" a="1"/>
  <c r="Q28" i="16" s="1"/>
  <c r="Q3" i="16" a="1"/>
  <c r="Q3" i="16" s="1"/>
  <c r="Q30" i="16" a="1"/>
  <c r="Q30" i="16" s="1"/>
  <c r="Q35" i="16" a="1"/>
  <c r="Q35" i="16" s="1"/>
  <c r="Q21" i="16" a="1"/>
  <c r="Q21" i="16" s="1"/>
  <c r="Q27" i="16" a="1"/>
  <c r="Q27" i="16" s="1"/>
  <c r="Q5" i="16" a="1"/>
  <c r="Q5" i="16" s="1"/>
  <c r="R13" i="16" a="1"/>
  <c r="R13" i="16" s="1"/>
  <c r="R31" i="16" a="1"/>
  <c r="R31" i="16" s="1"/>
  <c r="R15" i="16" a="1"/>
  <c r="R15" i="16" s="1"/>
  <c r="R8" i="16" a="1"/>
  <c r="R8" i="16" s="1"/>
  <c r="R14" i="16" a="1"/>
  <c r="R14" i="16" s="1"/>
  <c r="R3" i="16" a="1"/>
  <c r="R3" i="16" s="1"/>
  <c r="R11" i="16" a="1"/>
  <c r="R11" i="16" s="1"/>
  <c r="R9" i="16" a="1"/>
  <c r="R9" i="16" s="1"/>
  <c r="R10" i="16" a="1"/>
  <c r="R10" i="16" s="1"/>
  <c r="R41" i="16" a="1"/>
  <c r="R41" i="16" s="1"/>
  <c r="R4" i="16" a="1"/>
  <c r="R4" i="16" s="1"/>
  <c r="R7" i="16" a="1"/>
  <c r="R7" i="16" s="1"/>
  <c r="R22" i="16" a="1"/>
  <c r="R22" i="16" s="1"/>
  <c r="R35" i="16" a="1"/>
  <c r="R35" i="16" s="1"/>
  <c r="R20" i="16" a="1"/>
  <c r="R20" i="16" s="1"/>
  <c r="R26" i="16" a="1"/>
  <c r="R26" i="16" s="1"/>
  <c r="R16" i="16" a="1"/>
  <c r="R16" i="16" s="1"/>
  <c r="R28" i="16" a="1"/>
  <c r="R28" i="16" s="1"/>
  <c r="S13" i="16" a="1"/>
  <c r="S13" i="16" s="1"/>
  <c r="S18" i="16" a="1"/>
  <c r="S18" i="16" s="1"/>
  <c r="S34" i="16" a="1"/>
  <c r="S34" i="16" s="1"/>
  <c r="S21" i="16" a="1"/>
  <c r="S21" i="16" s="1"/>
  <c r="S17" i="16" a="1"/>
  <c r="S17" i="16" s="1"/>
  <c r="S3" i="16" a="1"/>
  <c r="S3" i="16" s="1"/>
  <c r="S7" i="16" a="1"/>
  <c r="S7" i="16" s="1"/>
  <c r="S15" i="16" a="1"/>
  <c r="S15" i="16" s="1"/>
  <c r="S35" i="16" a="1"/>
  <c r="S35" i="16" s="1"/>
  <c r="S12" i="16" a="1"/>
  <c r="S12" i="16" s="1"/>
  <c r="S16" i="16" a="1"/>
  <c r="S16" i="16" s="1"/>
  <c r="S27" i="16" a="1"/>
  <c r="S27" i="16" s="1"/>
  <c r="S10" i="16" a="1"/>
  <c r="S10" i="16" s="1"/>
  <c r="S25" i="16" a="1"/>
  <c r="S25" i="16" s="1"/>
  <c r="S22" i="16" a="1"/>
  <c r="S22" i="16" s="1"/>
  <c r="S29" i="16" a="1"/>
  <c r="S29" i="16" s="1"/>
  <c r="S11" i="16" a="1"/>
  <c r="S11" i="16" s="1"/>
  <c r="S41" i="16" a="1"/>
  <c r="S41" i="16" s="1"/>
  <c r="S20" i="16" a="1"/>
  <c r="S20" i="16" s="1"/>
  <c r="S30" i="16" a="1"/>
  <c r="S30" i="16" s="1"/>
  <c r="T19" i="16" a="1"/>
  <c r="T19" i="16" s="1"/>
  <c r="T27" i="16" a="1"/>
  <c r="T27" i="16" s="1"/>
  <c r="T16" i="16" a="1"/>
  <c r="T16" i="16" s="1"/>
  <c r="T13" i="16" a="1"/>
  <c r="T13" i="16" s="1"/>
  <c r="T28" i="16" a="1"/>
  <c r="T28" i="16" s="1"/>
  <c r="T17" i="16" a="1"/>
  <c r="T17" i="16" s="1"/>
  <c r="T8" i="16" a="1"/>
  <c r="T8" i="16" s="1"/>
  <c r="T11" i="16" a="1"/>
  <c r="T11" i="16" s="1"/>
  <c r="T9" i="16" a="1"/>
  <c r="T9" i="16" s="1"/>
  <c r="T21" i="16" a="1"/>
  <c r="T21" i="16" s="1"/>
  <c r="T24" i="16" a="1"/>
  <c r="T24" i="16" s="1"/>
  <c r="T42" i="16" a="1"/>
  <c r="T42" i="16" s="1"/>
  <c r="T22" i="16" a="1"/>
  <c r="T22" i="16" s="1"/>
  <c r="T26" i="16" a="1"/>
  <c r="T26" i="16" s="1"/>
  <c r="T4" i="16" a="1"/>
  <c r="T4" i="16" s="1"/>
  <c r="T29" i="16" a="1"/>
  <c r="T29" i="16" s="1"/>
  <c r="T36" i="16" a="1"/>
  <c r="T36" i="16" s="1"/>
  <c r="T23" i="16" a="1"/>
  <c r="T23" i="16" s="1"/>
  <c r="U21" i="16" a="1"/>
  <c r="U21" i="16" s="1"/>
  <c r="U13" i="16" a="1"/>
  <c r="U13" i="16" s="1"/>
  <c r="U27" i="16" a="1"/>
  <c r="U27" i="16" s="1"/>
  <c r="U25" i="16" a="1"/>
  <c r="U25" i="16" s="1"/>
  <c r="U3" i="16" a="1"/>
  <c r="U3" i="16" s="1"/>
  <c r="U15" i="16" a="1"/>
  <c r="U15" i="16" s="1"/>
  <c r="U42" i="16" a="1"/>
  <c r="U42" i="16" s="1"/>
  <c r="U41" i="16" a="1"/>
  <c r="U41" i="16" s="1"/>
  <c r="U11" i="16" a="1"/>
  <c r="U11" i="16" s="1"/>
  <c r="U35" i="16" a="1"/>
  <c r="U35" i="16" s="1"/>
  <c r="U28" i="16" a="1"/>
  <c r="U28" i="16" s="1"/>
  <c r="U29" i="16" a="1"/>
  <c r="U29" i="16" s="1"/>
  <c r="U26" i="16" a="1"/>
  <c r="U26" i="16" s="1"/>
  <c r="V7" i="16" a="1"/>
  <c r="V7" i="16" s="1"/>
  <c r="V20" i="16" a="1"/>
  <c r="V20" i="16" s="1"/>
  <c r="V27" i="16" a="1"/>
  <c r="V27" i="16" s="1"/>
  <c r="V15" i="16" a="1"/>
  <c r="V15" i="16" s="1"/>
  <c r="V9" i="16" a="1"/>
  <c r="V9" i="16" s="1"/>
  <c r="V23" i="16" a="1"/>
  <c r="V23" i="16" s="1"/>
  <c r="W28" i="16" a="1"/>
  <c r="W28" i="16" s="1"/>
  <c r="W13" i="16" a="1"/>
  <c r="W13" i="16" s="1"/>
  <c r="W8" i="16" a="1"/>
  <c r="W8" i="16" s="1"/>
  <c r="W17" i="16" a="1"/>
  <c r="W17" i="16" s="1"/>
  <c r="W10" i="16" a="1"/>
  <c r="W10" i="16" s="1"/>
  <c r="W11" i="16" a="1"/>
  <c r="W11" i="16" s="1"/>
  <c r="W14" i="16" a="1"/>
  <c r="W14" i="16" s="1"/>
  <c r="W24" i="16" a="1"/>
  <c r="W24" i="16" s="1"/>
  <c r="W3" i="16" a="1"/>
  <c r="W3" i="16" s="1"/>
  <c r="W12" i="16" a="1"/>
  <c r="W12" i="16" s="1"/>
  <c r="W29" i="16" a="1"/>
  <c r="W29" i="16" s="1"/>
  <c r="W15" i="16" a="1"/>
  <c r="W15" i="16" s="1"/>
  <c r="W5" i="16" a="1"/>
  <c r="W5" i="16" s="1"/>
  <c r="W22" i="16" a="1"/>
  <c r="W22" i="16" s="1"/>
  <c r="W4" i="16" a="1"/>
  <c r="W4" i="16" s="1"/>
  <c r="W27" i="16" a="1"/>
  <c r="W27" i="16" s="1"/>
  <c r="W25" i="16" a="1"/>
  <c r="W25" i="16" s="1"/>
  <c r="W34" i="16" a="1"/>
  <c r="W34" i="16" s="1"/>
  <c r="X13" i="16" a="1"/>
  <c r="X13" i="16" s="1"/>
  <c r="X21" i="16" a="1"/>
  <c r="X21" i="16" s="1"/>
  <c r="X15" i="16" a="1"/>
  <c r="X15" i="16" s="1"/>
  <c r="X30" i="16" a="1"/>
  <c r="X30" i="16" s="1"/>
  <c r="X14" i="16" a="1"/>
  <c r="X14" i="16" s="1"/>
  <c r="X18" i="16" a="1"/>
  <c r="X18" i="16" s="1"/>
  <c r="X20" i="16" a="1"/>
  <c r="X20" i="16" s="1"/>
  <c r="X7" i="16" a="1"/>
  <c r="X7" i="16" s="1"/>
  <c r="X42" i="16" a="1"/>
  <c r="X42" i="16" s="1"/>
  <c r="X10" i="16" a="1"/>
  <c r="X10" i="16" s="1"/>
  <c r="X41" i="16" a="1"/>
  <c r="X41" i="16" s="1"/>
  <c r="X5" i="16" a="1"/>
  <c r="X5" i="16" s="1"/>
  <c r="X35" i="16" a="1"/>
  <c r="X35" i="16" s="1"/>
  <c r="X22" i="16" a="1"/>
  <c r="X22" i="16" s="1"/>
  <c r="X23" i="16" a="1"/>
  <c r="X23" i="16" s="1"/>
  <c r="X27" i="16" a="1"/>
  <c r="X27" i="16" s="1"/>
  <c r="X26" i="16" a="1"/>
  <c r="X26" i="16" s="1"/>
  <c r="X31" i="16" a="1"/>
  <c r="X31" i="16" s="1"/>
  <c r="Y9" i="16" a="1"/>
  <c r="Y9" i="16" s="1"/>
  <c r="Y25" i="16" a="1"/>
  <c r="Y25" i="16" s="1"/>
  <c r="Y8" i="16" a="1"/>
  <c r="Y8" i="16" s="1"/>
  <c r="Y11" i="16" a="1"/>
  <c r="Y11" i="16" s="1"/>
  <c r="Y10" i="16" a="1"/>
  <c r="Y10" i="16" s="1"/>
  <c r="Y24" i="16" a="1"/>
  <c r="Y24" i="16" s="1"/>
  <c r="Y20" i="16" a="1"/>
  <c r="Y20" i="16" s="1"/>
  <c r="Y13" i="16" a="1"/>
  <c r="Y13" i="16" s="1"/>
  <c r="Y7" i="16" a="1"/>
  <c r="Y7" i="16" s="1"/>
  <c r="Y22" i="16" a="1"/>
  <c r="Y22" i="16" s="1"/>
  <c r="Y41" i="16" a="1"/>
  <c r="Y41" i="16" s="1"/>
  <c r="Y14" i="16" a="1"/>
  <c r="Y14" i="16" s="1"/>
  <c r="Y21" i="16" a="1"/>
  <c r="Y21" i="16" s="1"/>
  <c r="Y28" i="16" a="1"/>
  <c r="Y28" i="16" s="1"/>
  <c r="Z5" i="16" a="1"/>
  <c r="Z5" i="16" s="1"/>
  <c r="Z23" i="16" a="1"/>
  <c r="Z23" i="16" s="1"/>
  <c r="Z34" i="16" a="1"/>
  <c r="Z34" i="16" s="1"/>
  <c r="Z31" i="16" a="1"/>
  <c r="Z31" i="16" s="1"/>
  <c r="Z11" i="16" a="1"/>
  <c r="Z11" i="16" s="1"/>
  <c r="Z18" i="16" a="1"/>
  <c r="Z18" i="16" s="1"/>
  <c r="Z17" i="16" a="1"/>
  <c r="Z17" i="16" s="1"/>
  <c r="Z4" i="16" a="1"/>
  <c r="Z4" i="16" s="1"/>
  <c r="Z27" i="16" a="1"/>
  <c r="Z27" i="16" s="1"/>
  <c r="Z10" i="16" a="1"/>
  <c r="Z10" i="16" s="1"/>
  <c r="Z25" i="16" a="1"/>
  <c r="Z25" i="16" s="1"/>
  <c r="Z35" i="16" a="1"/>
  <c r="Z35" i="16" s="1"/>
  <c r="Z22" i="16" a="1"/>
  <c r="Z22" i="16" s="1"/>
  <c r="Z15" i="16" a="1"/>
  <c r="Z15" i="16" s="1"/>
  <c r="Z7" i="16" a="1"/>
  <c r="Z7" i="16" s="1"/>
  <c r="Z20" i="16" a="1"/>
  <c r="Z20" i="16" s="1"/>
  <c r="Z30" i="16" a="1"/>
  <c r="Z30" i="16" s="1"/>
  <c r="Z12" i="16" a="1"/>
  <c r="Z12" i="16" s="1"/>
  <c r="AA13" i="16" a="1"/>
  <c r="AA13" i="16" s="1"/>
  <c r="AA34" i="16" a="1"/>
  <c r="AA34" i="16" s="1"/>
  <c r="AA19" i="16" a="1"/>
  <c r="AA19" i="16" s="1"/>
  <c r="AA14" i="16" a="1"/>
  <c r="AA14" i="16" s="1"/>
  <c r="AA8" i="16" a="1"/>
  <c r="AA8" i="16" s="1"/>
  <c r="AA29" i="16" a="1"/>
  <c r="AA29" i="16" s="1"/>
  <c r="AA21" i="16" a="1"/>
  <c r="AA21" i="16" s="1"/>
  <c r="AA22" i="16" a="1"/>
  <c r="AA22" i="16" s="1"/>
  <c r="AA28" i="16" a="1"/>
  <c r="AA28" i="16" s="1"/>
  <c r="AA9" i="16" a="1"/>
  <c r="AA9" i="16" s="1"/>
  <c r="AA31" i="16" a="1"/>
  <c r="AA31" i="16" s="1"/>
  <c r="AA4" i="16" a="1"/>
  <c r="AA4" i="16" s="1"/>
  <c r="AA11" i="16" a="1"/>
  <c r="AA11" i="16" s="1"/>
  <c r="AA24" i="16" a="1"/>
  <c r="AA24" i="16" s="1"/>
  <c r="AA42" i="16" a="1"/>
  <c r="AA42" i="16" s="1"/>
  <c r="AA12" i="16" a="1"/>
  <c r="AA12" i="16" s="1"/>
  <c r="AA27" i="16" a="1"/>
  <c r="AA27" i="16" s="1"/>
  <c r="AA23" i="16" a="1"/>
  <c r="AA23" i="16" s="1"/>
  <c r="AB11" i="16" a="1"/>
  <c r="AB11" i="16" s="1"/>
  <c r="AB34" i="16" a="1"/>
  <c r="AB34" i="16" s="1"/>
  <c r="AB15" i="16" a="1"/>
  <c r="AB15" i="16" s="1"/>
  <c r="AB24" i="16" a="1"/>
  <c r="AB24" i="16" s="1"/>
  <c r="AB12" i="16" a="1"/>
  <c r="AB12" i="16" s="1"/>
  <c r="AB13" i="16" a="1"/>
  <c r="AB13" i="16" s="1"/>
  <c r="AB20" i="16" a="1"/>
  <c r="AB20" i="16" s="1"/>
  <c r="AB28" i="16" a="1"/>
  <c r="AB28" i="16" s="1"/>
  <c r="AB35" i="16" a="1"/>
  <c r="AB35" i="16" s="1"/>
  <c r="AB31" i="16" a="1"/>
  <c r="AB31" i="16" s="1"/>
  <c r="AB22" i="16" a="1"/>
  <c r="AB22" i="16" s="1"/>
  <c r="AB18" i="16" a="1"/>
  <c r="AB18" i="16" s="1"/>
  <c r="AB25" i="16" a="1"/>
  <c r="AB25" i="16" s="1"/>
  <c r="AB29" i="16" a="1"/>
  <c r="AB29" i="16" s="1"/>
  <c r="AC21" i="16" a="1"/>
  <c r="AC21" i="16" s="1"/>
  <c r="AC17" i="16" a="1"/>
  <c r="AC17" i="16" s="1"/>
  <c r="AC27" i="16" a="1"/>
  <c r="AC27" i="16" s="1"/>
  <c r="AC23" i="16" a="1"/>
  <c r="AC23" i="16" s="1"/>
  <c r="AD17" i="16" a="1"/>
  <c r="AD17" i="16" s="1"/>
  <c r="AD20" i="16" a="1"/>
  <c r="AD20" i="16" s="1"/>
  <c r="AD15" i="16" a="1"/>
  <c r="AD15" i="16" s="1"/>
  <c r="AD14" i="16" a="1"/>
  <c r="AD14" i="16" s="1"/>
  <c r="AD24" i="16" a="1"/>
  <c r="AD24" i="16" s="1"/>
  <c r="AD13" i="16" a="1"/>
  <c r="AD13" i="16" s="1"/>
  <c r="AD11" i="16" a="1"/>
  <c r="AD11" i="16" s="1"/>
  <c r="AD28" i="16" a="1"/>
  <c r="AD28" i="16" s="1"/>
  <c r="AD12" i="16" a="1"/>
  <c r="AD12" i="16" s="1"/>
  <c r="AD19" i="16" a="1"/>
  <c r="AD19" i="16" s="1"/>
  <c r="AD30" i="16" a="1"/>
  <c r="AD30" i="16" s="1"/>
  <c r="AD42" i="16" a="1"/>
  <c r="AD42" i="16" s="1"/>
  <c r="AD8" i="16" a="1"/>
  <c r="AD8" i="16" s="1"/>
  <c r="AD9" i="16" a="1"/>
  <c r="AD9" i="16" s="1"/>
  <c r="AD22" i="16" a="1"/>
  <c r="AD22" i="16" s="1"/>
  <c r="AD4" i="16" a="1"/>
  <c r="AD4" i="16" s="1"/>
  <c r="AD25" i="16" a="1"/>
  <c r="AD25" i="16" s="1"/>
  <c r="AD34" i="16" a="1"/>
  <c r="AD34" i="16" s="1"/>
  <c r="AE7" i="16" a="1"/>
  <c r="AE7" i="16" s="1"/>
  <c r="AE15" i="16" a="1"/>
  <c r="AE15" i="16" s="1"/>
  <c r="AE14" i="16" a="1"/>
  <c r="AE14" i="16" s="1"/>
  <c r="AE29" i="16" a="1"/>
  <c r="AE29" i="16" s="1"/>
  <c r="AE20" i="16" a="1"/>
  <c r="AE20" i="16" s="1"/>
  <c r="AE18" i="16" a="1"/>
  <c r="AE18" i="16" s="1"/>
  <c r="AE40" i="16" a="1"/>
  <c r="AE40" i="16" s="1"/>
  <c r="AE4" i="16" a="1"/>
  <c r="AE4" i="16" s="1"/>
  <c r="AE41" i="16" a="1"/>
  <c r="AE41" i="16" s="1"/>
  <c r="AE13" i="16" a="1"/>
  <c r="AE13" i="16" s="1"/>
  <c r="AE28" i="16" a="1"/>
  <c r="AE28" i="16" s="1"/>
  <c r="AE35" i="16" a="1"/>
  <c r="AE35" i="16" s="1"/>
  <c r="AE17" i="16" a="1"/>
  <c r="AE17" i="16" s="1"/>
  <c r="AE22" i="16" a="1"/>
  <c r="AE22" i="16" s="1"/>
  <c r="AE31" i="16" a="1"/>
  <c r="AE31" i="16" s="1"/>
  <c r="AE12" i="16" a="1"/>
  <c r="AE12" i="16" s="1"/>
  <c r="AE21" i="16" a="1"/>
  <c r="AE21" i="16" s="1"/>
  <c r="AE27" i="16" a="1"/>
  <c r="AE27" i="16" s="1"/>
  <c r="AF7" i="16" a="1"/>
  <c r="AF7" i="16" s="1"/>
  <c r="AF15" i="16" a="1"/>
  <c r="AF15" i="16" s="1"/>
  <c r="AF30" i="16" a="1"/>
  <c r="AF30" i="16" s="1"/>
  <c r="AF9" i="16" a="1"/>
  <c r="AF9" i="16" s="1"/>
  <c r="AF41" i="16" a="1"/>
  <c r="AF41" i="16" s="1"/>
  <c r="AF4" i="16" a="1"/>
  <c r="AF4" i="16" s="1"/>
  <c r="AF25" i="16" a="1"/>
  <c r="AF25" i="16" s="1"/>
  <c r="AF42" i="16" a="1"/>
  <c r="AF42" i="16" s="1"/>
  <c r="AG38" i="16" a="1"/>
  <c r="AG38" i="16" s="1"/>
  <c r="AG9" i="16" a="1"/>
  <c r="AG9" i="16" s="1"/>
  <c r="AG20" i="16" a="1"/>
  <c r="AG20" i="16" s="1"/>
  <c r="AG30" i="16" a="1"/>
  <c r="AG30" i="16" s="1"/>
  <c r="AG40" i="16" a="1"/>
  <c r="AG40" i="16" s="1"/>
  <c r="AH25" i="16" a="1"/>
  <c r="AH25" i="16" s="1"/>
  <c r="AH19" i="16" a="1"/>
  <c r="AH19" i="16" s="1"/>
  <c r="AH42" i="16" a="1"/>
  <c r="AH42" i="16" s="1"/>
  <c r="AH17" i="16" a="1"/>
  <c r="AH17" i="16" s="1"/>
  <c r="AH4" i="16" a="1"/>
  <c r="AH4" i="16" s="1"/>
  <c r="AH9" i="16" a="1"/>
  <c r="AH9" i="16" s="1"/>
  <c r="AH38" i="16" a="1"/>
  <c r="AH38" i="16" s="1"/>
  <c r="AH27" i="16" a="1"/>
  <c r="AH27" i="16" s="1"/>
  <c r="AH13" i="16" a="1"/>
  <c r="AH13" i="16" s="1"/>
  <c r="AH28" i="16" a="1"/>
  <c r="AH28" i="16" s="1"/>
  <c r="AH21" i="16" a="1"/>
  <c r="AH21" i="16" s="1"/>
  <c r="AH5" i="16" a="1"/>
  <c r="AH5" i="16" s="1"/>
  <c r="AH22" i="16" a="1"/>
  <c r="AH22" i="16" s="1"/>
  <c r="AH11" i="16" a="1"/>
  <c r="AH11" i="16" s="1"/>
  <c r="AH24" i="16" a="1"/>
  <c r="AH24" i="16" s="1"/>
  <c r="AH29" i="16" a="1"/>
  <c r="AH29" i="16" s="1"/>
  <c r="AH23" i="16" a="1"/>
  <c r="AH23" i="16" s="1"/>
  <c r="AI15" i="16" a="1"/>
  <c r="AI15" i="16" s="1"/>
  <c r="AI42" i="16" a="1"/>
  <c r="AI42" i="16" s="1"/>
  <c r="AI29" i="16" a="1"/>
  <c r="AI29" i="16" s="1"/>
  <c r="AI25" i="16" a="1"/>
  <c r="AI25" i="16" s="1"/>
  <c r="AI27" i="16" a="1"/>
  <c r="AI27" i="16" s="1"/>
  <c r="AI13" i="16" a="1"/>
  <c r="AI13" i="16" s="1"/>
  <c r="AI11" i="16" a="1"/>
  <c r="AI11" i="16" s="1"/>
  <c r="AI16" i="16" a="1"/>
  <c r="AI16" i="16" s="1"/>
  <c r="AI20" i="16" a="1"/>
  <c r="AI20" i="16" s="1"/>
  <c r="AI5" i="16" a="1"/>
  <c r="AI5" i="16" s="1"/>
  <c r="AI41" i="16" a="1"/>
  <c r="AI41" i="16" s="1"/>
  <c r="AI28" i="16" a="1"/>
  <c r="AI28" i="16" s="1"/>
  <c r="AJ16" i="16" a="1"/>
  <c r="AJ16" i="16" s="1"/>
  <c r="AJ21" i="16" a="1"/>
  <c r="AJ21" i="16" s="1"/>
  <c r="AJ27" i="16" a="1"/>
  <c r="AJ27" i="16" s="1"/>
  <c r="AJ17" i="16" a="1"/>
  <c r="AJ17" i="16" s="1"/>
  <c r="AJ19" i="16" a="1"/>
  <c r="AJ19" i="16" s="1"/>
  <c r="AK20" i="16" a="1"/>
  <c r="AK20" i="16" s="1"/>
  <c r="AK15" i="16" a="1"/>
  <c r="AK15" i="16" s="1"/>
  <c r="AK14" i="16" a="1"/>
  <c r="AK14" i="16" s="1"/>
  <c r="AK11" i="16" a="1"/>
  <c r="AK11" i="16" s="1"/>
  <c r="AK29" i="16" a="1"/>
  <c r="AK29" i="16" s="1"/>
  <c r="AK10" i="16" a="1"/>
  <c r="AK10" i="16" s="1"/>
  <c r="AK16" i="16" a="1"/>
  <c r="AK16" i="16" s="1"/>
  <c r="AK27" i="16" a="1"/>
  <c r="AK27" i="16" s="1"/>
  <c r="AK28" i="16" a="1"/>
  <c r="AK28" i="16" s="1"/>
  <c r="AK30" i="16" a="1"/>
  <c r="AK30" i="16" s="1"/>
  <c r="AK22" i="16" a="1"/>
  <c r="AK22" i="16" s="1"/>
  <c r="AK31" i="16" a="1"/>
  <c r="AK31" i="16" s="1"/>
  <c r="AK25" i="16" a="1"/>
  <c r="AK25" i="16" s="1"/>
  <c r="AK34" i="16" a="1"/>
  <c r="AK34" i="16" s="1"/>
  <c r="AL7" i="16" a="1"/>
  <c r="AL7" i="16" s="1"/>
  <c r="AL14" i="16" a="1"/>
  <c r="AL14" i="16" s="1"/>
  <c r="AL20" i="16" a="1"/>
  <c r="AL20" i="16" s="1"/>
  <c r="AL17" i="16" a="1"/>
  <c r="AL17" i="16" s="1"/>
  <c r="AL18" i="16" a="1"/>
  <c r="AL18" i="16" s="1"/>
  <c r="AL10" i="16" a="1"/>
  <c r="AL10" i="16" s="1"/>
  <c r="AL15" i="16" a="1"/>
  <c r="AL15" i="16" s="1"/>
  <c r="AL41" i="16" a="1"/>
  <c r="AL41" i="16" s="1"/>
  <c r="AL13" i="16" a="1"/>
  <c r="AL13" i="16" s="1"/>
  <c r="AL28" i="16" a="1"/>
  <c r="AL28" i="16" s="1"/>
  <c r="AL5" i="16" a="1"/>
  <c r="AL5" i="16" s="1"/>
  <c r="AL31" i="16" a="1"/>
  <c r="AL31" i="16" s="1"/>
  <c r="AL38" i="16" a="1"/>
  <c r="AL38" i="16" s="1"/>
  <c r="AL22" i="16" a="1"/>
  <c r="AL22" i="16" s="1"/>
  <c r="AL27" i="16" a="1"/>
  <c r="AL27" i="16" s="1"/>
  <c r="AL21" i="16" a="1"/>
  <c r="AL21" i="16" s="1"/>
  <c r="AM8" i="16" a="1"/>
  <c r="AM8" i="16" s="1"/>
  <c r="AM9" i="16" a="1"/>
  <c r="AM9" i="16" s="1"/>
  <c r="AM41" i="16" a="1"/>
  <c r="AM41" i="16" s="1"/>
  <c r="AM25" i="16" a="1"/>
  <c r="AM25" i="16" s="1"/>
  <c r="AM14" i="16" a="1"/>
  <c r="AM14" i="16" s="1"/>
  <c r="AM10" i="16" a="1"/>
  <c r="AM10" i="16" s="1"/>
  <c r="AM7" i="16" a="1"/>
  <c r="AM7" i="16" s="1"/>
  <c r="AM29" i="16" a="1"/>
  <c r="AM29" i="16" s="1"/>
  <c r="AM28" i="16" a="1"/>
  <c r="AM28" i="16" s="1"/>
  <c r="AW43" i="16"/>
  <c r="AS46" i="16" s="1"/>
  <c r="AV43" i="16"/>
  <c r="AM42" i="16" a="1"/>
  <c r="AM42" i="16" s="1"/>
  <c r="AL42" i="16" a="1"/>
  <c r="AL42" i="16" s="1"/>
  <c r="AK42" i="16" a="1"/>
  <c r="AK42" i="16" s="1"/>
  <c r="AJ42" i="16" a="1"/>
  <c r="AJ42" i="16" s="1"/>
  <c r="AG42" i="16" a="1"/>
  <c r="AG42" i="16" s="1"/>
  <c r="AE42" i="16" a="1"/>
  <c r="AE42" i="16" s="1"/>
  <c r="AC42" i="16" a="1"/>
  <c r="AC42" i="16" s="1"/>
  <c r="AB42" i="16" a="1"/>
  <c r="AB42" i="16" s="1"/>
  <c r="Z42" i="16" a="1"/>
  <c r="Z42" i="16" s="1"/>
  <c r="Y42" i="16" a="1"/>
  <c r="Y42" i="16" s="1"/>
  <c r="W42" i="16" a="1"/>
  <c r="W42" i="16" s="1"/>
  <c r="V42" i="16" a="1"/>
  <c r="V42" i="16" s="1"/>
  <c r="S42" i="16" a="1"/>
  <c r="S42" i="16" s="1"/>
  <c r="R42" i="16" a="1"/>
  <c r="R42" i="16" s="1"/>
  <c r="Q42" i="16" a="1"/>
  <c r="Q42" i="16" s="1"/>
  <c r="P42" i="16" a="1"/>
  <c r="P42" i="16" s="1"/>
  <c r="O42" i="16" a="1"/>
  <c r="O42" i="16" s="1"/>
  <c r="N42" i="16" a="1"/>
  <c r="N42" i="16" s="1"/>
  <c r="M42" i="16" a="1"/>
  <c r="M42" i="16" s="1"/>
  <c r="L42" i="16" a="1"/>
  <c r="L42" i="16" s="1"/>
  <c r="K42" i="16" a="1"/>
  <c r="K42" i="16" s="1"/>
  <c r="J42" i="16" a="1"/>
  <c r="J42" i="16" s="1"/>
  <c r="AK41" i="16" a="1"/>
  <c r="AK41" i="16" s="1"/>
  <c r="AJ41" i="16" a="1"/>
  <c r="AJ41" i="16" s="1"/>
  <c r="AH41" i="16" a="1"/>
  <c r="AH41" i="16" s="1"/>
  <c r="AG41" i="16" a="1"/>
  <c r="AG41" i="16" s="1"/>
  <c r="AD41" i="16" a="1"/>
  <c r="AD41" i="16" s="1"/>
  <c r="AC41" i="16" a="1"/>
  <c r="AC41" i="16" s="1"/>
  <c r="AB41" i="16" a="1"/>
  <c r="AB41" i="16" s="1"/>
  <c r="AA41" i="16" a="1"/>
  <c r="AA41" i="16" s="1"/>
  <c r="Z41" i="16" a="1"/>
  <c r="Z41" i="16" s="1"/>
  <c r="W41" i="16" a="1"/>
  <c r="W41" i="16" s="1"/>
  <c r="V41" i="16" a="1"/>
  <c r="V41" i="16" s="1"/>
  <c r="T41" i="16" a="1"/>
  <c r="T41" i="16" s="1"/>
  <c r="Q41" i="16" a="1"/>
  <c r="Q41" i="16" s="1"/>
  <c r="P41" i="16" a="1"/>
  <c r="P41" i="16" s="1"/>
  <c r="O41" i="16" a="1"/>
  <c r="O41" i="16" s="1"/>
  <c r="N41" i="16" a="1"/>
  <c r="N41" i="16" s="1"/>
  <c r="M41" i="16" a="1"/>
  <c r="M41" i="16" s="1"/>
  <c r="L41" i="16" a="1"/>
  <c r="L41" i="16" s="1"/>
  <c r="K41" i="16" a="1"/>
  <c r="K41" i="16" s="1"/>
  <c r="J41" i="16" a="1"/>
  <c r="J41" i="16" s="1"/>
  <c r="I41" i="16" a="1"/>
  <c r="I41" i="16" s="1"/>
  <c r="AQ40" i="16"/>
  <c r="AM40" i="16" a="1"/>
  <c r="AM40" i="16" s="1"/>
  <c r="AL40" i="16" a="1"/>
  <c r="AL40" i="16" s="1"/>
  <c r="AK40" i="16" a="1"/>
  <c r="AK40" i="16" s="1"/>
  <c r="AJ40" i="16" a="1"/>
  <c r="AJ40" i="16" s="1"/>
  <c r="AI40" i="16" a="1"/>
  <c r="AI40" i="16" s="1"/>
  <c r="AH40" i="16" a="1"/>
  <c r="AH40" i="16" s="1"/>
  <c r="AF40" i="16" a="1"/>
  <c r="AF40" i="16" s="1"/>
  <c r="AD40" i="16" a="1"/>
  <c r="AD40" i="16" s="1"/>
  <c r="AC40" i="16" a="1"/>
  <c r="AC40" i="16" s="1"/>
  <c r="AB40" i="16" a="1"/>
  <c r="AB40" i="16" s="1"/>
  <c r="AA40" i="16" a="1"/>
  <c r="AA40" i="16" s="1"/>
  <c r="Z40" i="16" a="1"/>
  <c r="Z40" i="16" s="1"/>
  <c r="Y40" i="16" a="1"/>
  <c r="Y40" i="16" s="1"/>
  <c r="X40" i="16" a="1"/>
  <c r="X40" i="16" s="1"/>
  <c r="W40" i="16" a="1"/>
  <c r="W40" i="16" s="1"/>
  <c r="V40" i="16" a="1"/>
  <c r="V40" i="16" s="1"/>
  <c r="U40" i="16" a="1"/>
  <c r="U40" i="16" s="1"/>
  <c r="T40" i="16" a="1"/>
  <c r="T40" i="16" s="1"/>
  <c r="S40" i="16" a="1"/>
  <c r="S40" i="16" s="1"/>
  <c r="R40" i="16" a="1"/>
  <c r="R40" i="16" s="1"/>
  <c r="Q40" i="16" a="1"/>
  <c r="Q40" i="16" s="1"/>
  <c r="P40" i="16" a="1"/>
  <c r="P40" i="16" s="1"/>
  <c r="O40" i="16" a="1"/>
  <c r="O40" i="16" s="1"/>
  <c r="N40" i="16" a="1"/>
  <c r="N40" i="16" s="1"/>
  <c r="M40" i="16" a="1"/>
  <c r="M40" i="16" s="1"/>
  <c r="L40" i="16" a="1"/>
  <c r="L40" i="16" s="1"/>
  <c r="K40" i="16" a="1"/>
  <c r="K40" i="16" s="1"/>
  <c r="J40" i="16" a="1"/>
  <c r="J40" i="16" s="1"/>
  <c r="I40" i="16" a="1"/>
  <c r="I40" i="16" s="1"/>
  <c r="AM39" i="16" a="1"/>
  <c r="AM39" i="16" s="1"/>
  <c r="AL39" i="16" a="1"/>
  <c r="AL39" i="16" s="1"/>
  <c r="AK39" i="16" a="1"/>
  <c r="AK39" i="16" s="1"/>
  <c r="AJ39" i="16" a="1"/>
  <c r="AJ39" i="16" s="1"/>
  <c r="AI39" i="16" a="1"/>
  <c r="AI39" i="16" s="1"/>
  <c r="AH39" i="16" a="1"/>
  <c r="AH39" i="16" s="1"/>
  <c r="AG39" i="16" a="1"/>
  <c r="AG39" i="16" s="1"/>
  <c r="AF39" i="16" a="1"/>
  <c r="AF39" i="16" s="1"/>
  <c r="AE39" i="16" a="1"/>
  <c r="AE39" i="16" s="1"/>
  <c r="AD39" i="16" a="1"/>
  <c r="AD39" i="16" s="1"/>
  <c r="AC39" i="16" a="1"/>
  <c r="AC39" i="16" s="1"/>
  <c r="AB39" i="16" a="1"/>
  <c r="AB39" i="16" s="1"/>
  <c r="AA39" i="16" a="1"/>
  <c r="AA39" i="16" s="1"/>
  <c r="Z39" i="16" a="1"/>
  <c r="Z39" i="16" s="1"/>
  <c r="Y39" i="16" a="1"/>
  <c r="Y39" i="16" s="1"/>
  <c r="X39" i="16" a="1"/>
  <c r="X39" i="16" s="1"/>
  <c r="W39" i="16" a="1"/>
  <c r="W39" i="16" s="1"/>
  <c r="V39" i="16" a="1"/>
  <c r="V39" i="16" s="1"/>
  <c r="U39" i="16" a="1"/>
  <c r="U39" i="16" s="1"/>
  <c r="T39" i="16" a="1"/>
  <c r="T39" i="16" s="1"/>
  <c r="S39" i="16" a="1"/>
  <c r="S39" i="16" s="1"/>
  <c r="R39" i="16" a="1"/>
  <c r="R39" i="16" s="1"/>
  <c r="Q39" i="16" a="1"/>
  <c r="Q39" i="16" s="1"/>
  <c r="P39" i="16" a="1"/>
  <c r="P39" i="16" s="1"/>
  <c r="O39" i="16" a="1"/>
  <c r="O39" i="16" s="1"/>
  <c r="N39" i="16" a="1"/>
  <c r="N39" i="16" s="1"/>
  <c r="M39" i="16" a="1"/>
  <c r="M39" i="16" s="1"/>
  <c r="L39" i="16" a="1"/>
  <c r="L39" i="16" s="1"/>
  <c r="K39" i="16" a="1"/>
  <c r="K39" i="16" s="1"/>
  <c r="J39" i="16" a="1"/>
  <c r="J39" i="16" s="1"/>
  <c r="I39" i="16" a="1"/>
  <c r="I39" i="16" s="1"/>
  <c r="AM38" i="16" a="1"/>
  <c r="AM38" i="16" s="1"/>
  <c r="AK38" i="16" a="1"/>
  <c r="AK38" i="16" s="1"/>
  <c r="AJ38" i="16" a="1"/>
  <c r="AJ38" i="16" s="1"/>
  <c r="AI38" i="16" a="1"/>
  <c r="AI38" i="16" s="1"/>
  <c r="AF38" i="16" a="1"/>
  <c r="AF38" i="16" s="1"/>
  <c r="AE38" i="16" a="1"/>
  <c r="AE38" i="16" s="1"/>
  <c r="AD38" i="16" a="1"/>
  <c r="AD38" i="16" s="1"/>
  <c r="AC38" i="16" a="1"/>
  <c r="AC38" i="16" s="1"/>
  <c r="AB38" i="16" a="1"/>
  <c r="AB38" i="16" s="1"/>
  <c r="AA38" i="16" a="1"/>
  <c r="AA38" i="16" s="1"/>
  <c r="Z38" i="16" a="1"/>
  <c r="Z38" i="16" s="1"/>
  <c r="Y38" i="16" a="1"/>
  <c r="Y38" i="16" s="1"/>
  <c r="X38" i="16" a="1"/>
  <c r="X38" i="16" s="1"/>
  <c r="W38" i="16" a="1"/>
  <c r="W38" i="16" s="1"/>
  <c r="V38" i="16" a="1"/>
  <c r="V38" i="16" s="1"/>
  <c r="U38" i="16" a="1"/>
  <c r="U38" i="16" s="1"/>
  <c r="T38" i="16" a="1"/>
  <c r="T38" i="16" s="1"/>
  <c r="S38" i="16" a="1"/>
  <c r="S38" i="16" s="1"/>
  <c r="R38" i="16" a="1"/>
  <c r="R38" i="16" s="1"/>
  <c r="Q38" i="16" a="1"/>
  <c r="Q38" i="16" s="1"/>
  <c r="P38" i="16" a="1"/>
  <c r="P38" i="16" s="1"/>
  <c r="O38" i="16" a="1"/>
  <c r="O38" i="16" s="1"/>
  <c r="N38" i="16" a="1"/>
  <c r="N38" i="16" s="1"/>
  <c r="M38" i="16" a="1"/>
  <c r="M38" i="16" s="1"/>
  <c r="L38" i="16" a="1"/>
  <c r="L38" i="16" s="1"/>
  <c r="J38" i="16" a="1"/>
  <c r="J38" i="16" s="1"/>
  <c r="I38" i="16" a="1"/>
  <c r="I38" i="16" s="1"/>
  <c r="AQ37" i="16"/>
  <c r="AM37" i="16" a="1"/>
  <c r="AM37" i="16" s="1"/>
  <c r="AL37" i="16" a="1"/>
  <c r="AL37" i="16" s="1"/>
  <c r="AK37" i="16" a="1"/>
  <c r="AK37" i="16" s="1"/>
  <c r="AJ37" i="16" a="1"/>
  <c r="AJ37" i="16" s="1"/>
  <c r="AI37" i="16" a="1"/>
  <c r="AI37" i="16" s="1"/>
  <c r="AH37" i="16" a="1"/>
  <c r="AH37" i="16" s="1"/>
  <c r="AG37" i="16" a="1"/>
  <c r="AG37" i="16" s="1"/>
  <c r="AF37" i="16" a="1"/>
  <c r="AF37" i="16" s="1"/>
  <c r="AE37" i="16" a="1"/>
  <c r="AE37" i="16" s="1"/>
  <c r="AD37" i="16" a="1"/>
  <c r="AD37" i="16" s="1"/>
  <c r="AC37" i="16" a="1"/>
  <c r="AC37" i="16" s="1"/>
  <c r="AB37" i="16" a="1"/>
  <c r="AB37" i="16" s="1"/>
  <c r="AA37" i="16" a="1"/>
  <c r="AA37" i="16" s="1"/>
  <c r="Z37" i="16" a="1"/>
  <c r="Z37" i="16" s="1"/>
  <c r="Y37" i="16" a="1"/>
  <c r="Y37" i="16" s="1"/>
  <c r="X37" i="16" a="1"/>
  <c r="X37" i="16" s="1"/>
  <c r="W37" i="16" a="1"/>
  <c r="W37" i="16" s="1"/>
  <c r="V37" i="16" a="1"/>
  <c r="V37" i="16" s="1"/>
  <c r="U37" i="16" a="1"/>
  <c r="U37" i="16" s="1"/>
  <c r="T37" i="16" a="1"/>
  <c r="T37" i="16" s="1"/>
  <c r="S37" i="16" a="1"/>
  <c r="S37" i="16" s="1"/>
  <c r="R37" i="16" a="1"/>
  <c r="R37" i="16" s="1"/>
  <c r="Q37" i="16" a="1"/>
  <c r="Q37" i="16" s="1"/>
  <c r="P37" i="16" a="1"/>
  <c r="P37" i="16" s="1"/>
  <c r="O37" i="16" a="1"/>
  <c r="O37" i="16" s="1"/>
  <c r="N37" i="16" a="1"/>
  <c r="N37" i="16" s="1"/>
  <c r="M37" i="16" a="1"/>
  <c r="M37" i="16" s="1"/>
  <c r="L37" i="16" a="1"/>
  <c r="L37" i="16" s="1"/>
  <c r="K37" i="16" a="1"/>
  <c r="K37" i="16" s="1"/>
  <c r="J37" i="16" a="1"/>
  <c r="J37" i="16" s="1"/>
  <c r="I37" i="16" a="1"/>
  <c r="I37" i="16" s="1"/>
  <c r="AQ36" i="16"/>
  <c r="AM36" i="16" a="1"/>
  <c r="AM36" i="16" s="1"/>
  <c r="AL36" i="16" a="1"/>
  <c r="AL36" i="16" s="1"/>
  <c r="AK36" i="16" a="1"/>
  <c r="AK36" i="16" s="1"/>
  <c r="AJ36" i="16" a="1"/>
  <c r="AJ36" i="16" s="1"/>
  <c r="AI36" i="16" a="1"/>
  <c r="AI36" i="16" s="1"/>
  <c r="AH36" i="16" a="1"/>
  <c r="AH36" i="16" s="1"/>
  <c r="AG36" i="16" a="1"/>
  <c r="AG36" i="16" s="1"/>
  <c r="AF36" i="16" a="1"/>
  <c r="AF36" i="16" s="1"/>
  <c r="AE36" i="16" a="1"/>
  <c r="AE36" i="16" s="1"/>
  <c r="AD36" i="16" a="1"/>
  <c r="AD36" i="16" s="1"/>
  <c r="AC36" i="16" a="1"/>
  <c r="AC36" i="16" s="1"/>
  <c r="AB36" i="16" a="1"/>
  <c r="AB36" i="16" s="1"/>
  <c r="AA36" i="16" a="1"/>
  <c r="AA36" i="16" s="1"/>
  <c r="Z36" i="16" a="1"/>
  <c r="Z36" i="16" s="1"/>
  <c r="Y36" i="16" a="1"/>
  <c r="Y36" i="16" s="1"/>
  <c r="X36" i="16" a="1"/>
  <c r="X36" i="16" s="1"/>
  <c r="W36" i="16" a="1"/>
  <c r="W36" i="16" s="1"/>
  <c r="V36" i="16" a="1"/>
  <c r="V36" i="16" s="1"/>
  <c r="U36" i="16" a="1"/>
  <c r="U36" i="16" s="1"/>
  <c r="S36" i="16" a="1"/>
  <c r="S36" i="16" s="1"/>
  <c r="R36" i="16" a="1"/>
  <c r="R36" i="16" s="1"/>
  <c r="Q36" i="16" a="1"/>
  <c r="Q36" i="16" s="1"/>
  <c r="P36" i="16" a="1"/>
  <c r="P36" i="16" s="1"/>
  <c r="N36" i="16" a="1"/>
  <c r="N36" i="16" s="1"/>
  <c r="L36" i="16" a="1"/>
  <c r="L36" i="16" s="1"/>
  <c r="K36" i="16" a="1"/>
  <c r="K36" i="16" s="1"/>
  <c r="I36" i="16" a="1"/>
  <c r="I36" i="16" s="1"/>
  <c r="AM35" i="16" a="1"/>
  <c r="AM35" i="16" s="1"/>
  <c r="AL35" i="16" a="1"/>
  <c r="AL35" i="16" s="1"/>
  <c r="AK35" i="16" a="1"/>
  <c r="AK35" i="16" s="1"/>
  <c r="AJ35" i="16" a="1"/>
  <c r="AJ35" i="16" s="1"/>
  <c r="AH35" i="16" a="1"/>
  <c r="AH35" i="16" s="1"/>
  <c r="AG35" i="16" a="1"/>
  <c r="AG35" i="16" s="1"/>
  <c r="AF35" i="16" a="1"/>
  <c r="AF35" i="16" s="1"/>
  <c r="AD35" i="16" a="1"/>
  <c r="AD35" i="16" s="1"/>
  <c r="AC35" i="16" a="1"/>
  <c r="AC35" i="16" s="1"/>
  <c r="AA35" i="16" a="1"/>
  <c r="AA35" i="16" s="1"/>
  <c r="W35" i="16" a="1"/>
  <c r="W35" i="16" s="1"/>
  <c r="V35" i="16" a="1"/>
  <c r="V35" i="16" s="1"/>
  <c r="T35" i="16" a="1"/>
  <c r="T35" i="16" s="1"/>
  <c r="P35" i="16" a="1"/>
  <c r="P35" i="16" s="1"/>
  <c r="O35" i="16" a="1"/>
  <c r="O35" i="16" s="1"/>
  <c r="N35" i="16" a="1"/>
  <c r="N35" i="16" s="1"/>
  <c r="M35" i="16" a="1"/>
  <c r="M35" i="16" s="1"/>
  <c r="L35" i="16" a="1"/>
  <c r="L35" i="16" s="1"/>
  <c r="I35" i="16" a="1"/>
  <c r="I35" i="16" s="1"/>
  <c r="AM34" i="16" a="1"/>
  <c r="AM34" i="16" s="1"/>
  <c r="AL34" i="16" a="1"/>
  <c r="AL34" i="16" s="1"/>
  <c r="AJ34" i="16" a="1"/>
  <c r="AJ34" i="16" s="1"/>
  <c r="AI34" i="16" a="1"/>
  <c r="AI34" i="16" s="1"/>
  <c r="AH34" i="16" a="1"/>
  <c r="AH34" i="16" s="1"/>
  <c r="AG34" i="16" a="1"/>
  <c r="AG34" i="16" s="1"/>
  <c r="AF34" i="16" a="1"/>
  <c r="AF34" i="16" s="1"/>
  <c r="AE34" i="16" a="1"/>
  <c r="AE34" i="16" s="1"/>
  <c r="AC34" i="16" a="1"/>
  <c r="AC34" i="16" s="1"/>
  <c r="Y34" i="16" a="1"/>
  <c r="Y34" i="16" s="1"/>
  <c r="X34" i="16" a="1"/>
  <c r="X34" i="16" s="1"/>
  <c r="V34" i="16" a="1"/>
  <c r="V34" i="16" s="1"/>
  <c r="U34" i="16" a="1"/>
  <c r="U34" i="16" s="1"/>
  <c r="T34" i="16" a="1"/>
  <c r="T34" i="16" s="1"/>
  <c r="R34" i="16" a="1"/>
  <c r="R34" i="16" s="1"/>
  <c r="Q34" i="16" a="1"/>
  <c r="Q34" i="16" s="1"/>
  <c r="O34" i="16" a="1"/>
  <c r="O34" i="16" s="1"/>
  <c r="N34" i="16" a="1"/>
  <c r="N34" i="16" s="1"/>
  <c r="K34" i="16" a="1"/>
  <c r="K34" i="16" s="1"/>
  <c r="J34" i="16" a="1"/>
  <c r="J34" i="16" s="1"/>
  <c r="AQ33" i="16"/>
  <c r="AM33" i="16" a="1"/>
  <c r="AM33" i="16" s="1"/>
  <c r="AL33" i="16" a="1"/>
  <c r="AL33" i="16" s="1"/>
  <c r="AK33" i="16" a="1"/>
  <c r="AK33" i="16" s="1"/>
  <c r="AJ33" i="16" a="1"/>
  <c r="AJ33" i="16" s="1"/>
  <c r="AI33" i="16" a="1"/>
  <c r="AI33" i="16" s="1"/>
  <c r="AH33" i="16" a="1"/>
  <c r="AH33" i="16" s="1"/>
  <c r="AG33" i="16" a="1"/>
  <c r="AG33" i="16" s="1"/>
  <c r="AF33" i="16" a="1"/>
  <c r="AF33" i="16" s="1"/>
  <c r="AE33" i="16" a="1"/>
  <c r="AE33" i="16" s="1"/>
  <c r="AD33" i="16" a="1"/>
  <c r="AD33" i="16" s="1"/>
  <c r="AC33" i="16" a="1"/>
  <c r="AC33" i="16" s="1"/>
  <c r="AB33" i="16" a="1"/>
  <c r="AB33" i="16" s="1"/>
  <c r="AA33" i="16" a="1"/>
  <c r="AA33" i="16" s="1"/>
  <c r="Z33" i="16" a="1"/>
  <c r="Z33" i="16" s="1"/>
  <c r="Y33" i="16" a="1"/>
  <c r="Y33" i="16" s="1"/>
  <c r="X33" i="16" a="1"/>
  <c r="X33" i="16" s="1"/>
  <c r="W33" i="16" a="1"/>
  <c r="W33" i="16" s="1"/>
  <c r="V33" i="16" a="1"/>
  <c r="V33" i="16" s="1"/>
  <c r="U33" i="16" a="1"/>
  <c r="U33" i="16" s="1"/>
  <c r="T33" i="16" a="1"/>
  <c r="T33" i="16" s="1"/>
  <c r="S33" i="16" a="1"/>
  <c r="S33" i="16" s="1"/>
  <c r="R33" i="16" a="1"/>
  <c r="R33" i="16" s="1"/>
  <c r="Q33" i="16" a="1"/>
  <c r="Q33" i="16" s="1"/>
  <c r="P33" i="16" a="1"/>
  <c r="P33" i="16" s="1"/>
  <c r="O33" i="16" a="1"/>
  <c r="O33" i="16" s="1"/>
  <c r="N33" i="16" a="1"/>
  <c r="N33" i="16" s="1"/>
  <c r="M33" i="16" a="1"/>
  <c r="M33" i="16" s="1"/>
  <c r="L33" i="16" a="1"/>
  <c r="L33" i="16" s="1"/>
  <c r="K33" i="16" a="1"/>
  <c r="K33" i="16" s="1"/>
  <c r="J33" i="16" a="1"/>
  <c r="J33" i="16" s="1"/>
  <c r="I33" i="16" a="1"/>
  <c r="I33" i="16" s="1"/>
  <c r="AM32" i="16" a="1"/>
  <c r="AM32" i="16" s="1"/>
  <c r="AL32" i="16" a="1"/>
  <c r="AL32" i="16" s="1"/>
  <c r="AK32" i="16" a="1"/>
  <c r="AK32" i="16" s="1"/>
  <c r="AJ32" i="16" a="1"/>
  <c r="AJ32" i="16" s="1"/>
  <c r="AI32" i="16" a="1"/>
  <c r="AI32" i="16" s="1"/>
  <c r="AH32" i="16" a="1"/>
  <c r="AH32" i="16" s="1"/>
  <c r="AG32" i="16" a="1"/>
  <c r="AG32" i="16" s="1"/>
  <c r="AF32" i="16" a="1"/>
  <c r="AF32" i="16" s="1"/>
  <c r="AE32" i="16" a="1"/>
  <c r="AE32" i="16" s="1"/>
  <c r="AD32" i="16" a="1"/>
  <c r="AD32" i="16" s="1"/>
  <c r="AC32" i="16" a="1"/>
  <c r="AC32" i="16" s="1"/>
  <c r="AB32" i="16" a="1"/>
  <c r="AB32" i="16" s="1"/>
  <c r="AA32" i="16" a="1"/>
  <c r="AA32" i="16" s="1"/>
  <c r="Z32" i="16" a="1"/>
  <c r="Z32" i="16" s="1"/>
  <c r="Y32" i="16" a="1"/>
  <c r="Y32" i="16" s="1"/>
  <c r="X32" i="16" a="1"/>
  <c r="X32" i="16" s="1"/>
  <c r="W32" i="16" a="1"/>
  <c r="W32" i="16" s="1"/>
  <c r="V32" i="16" a="1"/>
  <c r="V32" i="16" s="1"/>
  <c r="U32" i="16" a="1"/>
  <c r="U32" i="16" s="1"/>
  <c r="T32" i="16" a="1"/>
  <c r="T32" i="16" s="1"/>
  <c r="S32" i="16" a="1"/>
  <c r="S32" i="16" s="1"/>
  <c r="R32" i="16" a="1"/>
  <c r="R32" i="16" s="1"/>
  <c r="Q32" i="16" a="1"/>
  <c r="Q32" i="16" s="1"/>
  <c r="P32" i="16" a="1"/>
  <c r="P32" i="16" s="1"/>
  <c r="O32" i="16" a="1"/>
  <c r="O32" i="16" s="1"/>
  <c r="N32" i="16" a="1"/>
  <c r="N32" i="16" s="1"/>
  <c r="M32" i="16" a="1"/>
  <c r="M32" i="16" s="1"/>
  <c r="L32" i="16" a="1"/>
  <c r="L32" i="16" s="1"/>
  <c r="K32" i="16" a="1"/>
  <c r="K32" i="16" s="1"/>
  <c r="J32" i="16" a="1"/>
  <c r="J32" i="16" s="1"/>
  <c r="I32" i="16" a="1"/>
  <c r="I32" i="16" s="1"/>
  <c r="AM31" i="16" a="1"/>
  <c r="AM31" i="16" s="1"/>
  <c r="AJ31" i="16" a="1"/>
  <c r="AJ31" i="16" s="1"/>
  <c r="AI31" i="16" a="1"/>
  <c r="AI31" i="16" s="1"/>
  <c r="AG31" i="16" a="1"/>
  <c r="AG31" i="16" s="1"/>
  <c r="AF31" i="16" a="1"/>
  <c r="AF31" i="16" s="1"/>
  <c r="AD31" i="16" a="1"/>
  <c r="AD31" i="16" s="1"/>
  <c r="AC31" i="16" a="1"/>
  <c r="AC31" i="16" s="1"/>
  <c r="Y31" i="16" a="1"/>
  <c r="Y31" i="16" s="1"/>
  <c r="W31" i="16" a="1"/>
  <c r="W31" i="16" s="1"/>
  <c r="V31" i="16" a="1"/>
  <c r="V31" i="16" s="1"/>
  <c r="U31" i="16" a="1"/>
  <c r="U31" i="16" s="1"/>
  <c r="T31" i="16" a="1"/>
  <c r="T31" i="16" s="1"/>
  <c r="Q31" i="16" a="1"/>
  <c r="Q31" i="16" s="1"/>
  <c r="P31" i="16" a="1"/>
  <c r="P31" i="16" s="1"/>
  <c r="O31" i="16" a="1"/>
  <c r="O31" i="16" s="1"/>
  <c r="N31" i="16" a="1"/>
  <c r="N31" i="16" s="1"/>
  <c r="M31" i="16" a="1"/>
  <c r="M31" i="16" s="1"/>
  <c r="K31" i="16" a="1"/>
  <c r="K31" i="16" s="1"/>
  <c r="AM30" i="16" a="1"/>
  <c r="AM30" i="16" s="1"/>
  <c r="AL30" i="16" a="1"/>
  <c r="AL30" i="16" s="1"/>
  <c r="AJ30" i="16" a="1"/>
  <c r="AJ30" i="16" s="1"/>
  <c r="AH30" i="16" a="1"/>
  <c r="AH30" i="16" s="1"/>
  <c r="AE30" i="16" a="1"/>
  <c r="AE30" i="16" s="1"/>
  <c r="AC30" i="16" a="1"/>
  <c r="AC30" i="16" s="1"/>
  <c r="AB30" i="16" a="1"/>
  <c r="AB30" i="16" s="1"/>
  <c r="AA30" i="16" a="1"/>
  <c r="AA30" i="16" s="1"/>
  <c r="Y30" i="16" a="1"/>
  <c r="Y30" i="16" s="1"/>
  <c r="W30" i="16" a="1"/>
  <c r="W30" i="16" s="1"/>
  <c r="U30" i="16" a="1"/>
  <c r="U30" i="16" s="1"/>
  <c r="T30" i="16" a="1"/>
  <c r="T30" i="16" s="1"/>
  <c r="R30" i="16" a="1"/>
  <c r="R30" i="16" s="1"/>
  <c r="P30" i="16" a="1"/>
  <c r="P30" i="16" s="1"/>
  <c r="M30" i="16" a="1"/>
  <c r="M30" i="16" s="1"/>
  <c r="I30" i="16" a="1"/>
  <c r="I30" i="16" s="1"/>
  <c r="AL29" i="16" a="1"/>
  <c r="AL29" i="16" s="1"/>
  <c r="AJ29" i="16" a="1"/>
  <c r="AJ29" i="16" s="1"/>
  <c r="AG29" i="16" a="1"/>
  <c r="AG29" i="16" s="1"/>
  <c r="AF29" i="16" a="1"/>
  <c r="AF29" i="16" s="1"/>
  <c r="AD29" i="16" a="1"/>
  <c r="AD29" i="16" s="1"/>
  <c r="AC29" i="16" a="1"/>
  <c r="AC29" i="16" s="1"/>
  <c r="Z29" i="16" a="1"/>
  <c r="Z29" i="16" s="1"/>
  <c r="Y29" i="16" a="1"/>
  <c r="Y29" i="16" s="1"/>
  <c r="X29" i="16" a="1"/>
  <c r="X29" i="16" s="1"/>
  <c r="V29" i="16" a="1"/>
  <c r="V29" i="16" s="1"/>
  <c r="R29" i="16" a="1"/>
  <c r="R29" i="16" s="1"/>
  <c r="Q29" i="16" a="1"/>
  <c r="Q29" i="16" s="1"/>
  <c r="P29" i="16" a="1"/>
  <c r="P29" i="16" s="1"/>
  <c r="O29" i="16" a="1"/>
  <c r="O29" i="16" s="1"/>
  <c r="N29" i="16" a="1"/>
  <c r="N29" i="16" s="1"/>
  <c r="L29" i="16" a="1"/>
  <c r="L29" i="16" s="1"/>
  <c r="K29" i="16" a="1"/>
  <c r="K29" i="16" s="1"/>
  <c r="J29" i="16" a="1"/>
  <c r="J29" i="16" s="1"/>
  <c r="I29" i="16" a="1"/>
  <c r="I29" i="16" s="1"/>
  <c r="AJ28" i="16" a="1"/>
  <c r="AJ28" i="16" s="1"/>
  <c r="AG28" i="16" a="1"/>
  <c r="AG28" i="16" s="1"/>
  <c r="AF28" i="16" a="1"/>
  <c r="AF28" i="16" s="1"/>
  <c r="AC28" i="16" a="1"/>
  <c r="AC28" i="16" s="1"/>
  <c r="Z28" i="16" a="1"/>
  <c r="Z28" i="16" s="1"/>
  <c r="X28" i="16" a="1"/>
  <c r="X28" i="16" s="1"/>
  <c r="V28" i="16" a="1"/>
  <c r="V28" i="16" s="1"/>
  <c r="S28" i="16" a="1"/>
  <c r="S28" i="16" s="1"/>
  <c r="O28" i="16" a="1"/>
  <c r="O28" i="16" s="1"/>
  <c r="L28" i="16" a="1"/>
  <c r="L28" i="16" s="1"/>
  <c r="I28" i="16" a="1"/>
  <c r="I28" i="16" s="1"/>
  <c r="AM27" i="16" a="1"/>
  <c r="AM27" i="16" s="1"/>
  <c r="AG27" i="16" a="1"/>
  <c r="AG27" i="16" s="1"/>
  <c r="AF27" i="16" a="1"/>
  <c r="AF27" i="16" s="1"/>
  <c r="AD27" i="16" a="1"/>
  <c r="AD27" i="16" s="1"/>
  <c r="AB27" i="16" a="1"/>
  <c r="AB27" i="16" s="1"/>
  <c r="Y27" i="16" a="1"/>
  <c r="Y27" i="16" s="1"/>
  <c r="R27" i="16" a="1"/>
  <c r="R27" i="16" s="1"/>
  <c r="O27" i="16" a="1"/>
  <c r="O27" i="16" s="1"/>
  <c r="K27" i="16" a="1"/>
  <c r="K27" i="16" s="1"/>
  <c r="AM26" i="16" a="1"/>
  <c r="AM26" i="16" s="1"/>
  <c r="AL26" i="16" a="1"/>
  <c r="AL26" i="16" s="1"/>
  <c r="AK26" i="16" a="1"/>
  <c r="AK26" i="16" s="1"/>
  <c r="AJ26" i="16" a="1"/>
  <c r="AJ26" i="16" s="1"/>
  <c r="AI26" i="16" a="1"/>
  <c r="AI26" i="16" s="1"/>
  <c r="AH26" i="16" a="1"/>
  <c r="AH26" i="16" s="1"/>
  <c r="AG26" i="16" a="1"/>
  <c r="AG26" i="16" s="1"/>
  <c r="AF26" i="16" a="1"/>
  <c r="AF26" i="16" s="1"/>
  <c r="AE26" i="16" a="1"/>
  <c r="AE26" i="16" s="1"/>
  <c r="AD26" i="16" a="1"/>
  <c r="AD26" i="16" s="1"/>
  <c r="AC26" i="16" a="1"/>
  <c r="AC26" i="16" s="1"/>
  <c r="AB26" i="16" a="1"/>
  <c r="AB26" i="16" s="1"/>
  <c r="AA26" i="16" a="1"/>
  <c r="AA26" i="16" s="1"/>
  <c r="Z26" i="16" a="1"/>
  <c r="Z26" i="16" s="1"/>
  <c r="Y26" i="16" a="1"/>
  <c r="Y26" i="16" s="1"/>
  <c r="W26" i="16" a="1"/>
  <c r="W26" i="16" s="1"/>
  <c r="V26" i="16" a="1"/>
  <c r="V26" i="16" s="1"/>
  <c r="S26" i="16" a="1"/>
  <c r="S26" i="16" s="1"/>
  <c r="Q26" i="16" a="1"/>
  <c r="Q26" i="16" s="1"/>
  <c r="P26" i="16" a="1"/>
  <c r="P26" i="16" s="1"/>
  <c r="O26" i="16" a="1"/>
  <c r="O26" i="16" s="1"/>
  <c r="M26" i="16" a="1"/>
  <c r="M26" i="16" s="1"/>
  <c r="L26" i="16" a="1"/>
  <c r="L26" i="16" s="1"/>
  <c r="J26" i="16" a="1"/>
  <c r="J26" i="16" s="1"/>
  <c r="I26" i="16" a="1"/>
  <c r="I26" i="16" s="1"/>
  <c r="AL25" i="16" a="1"/>
  <c r="AL25" i="16" s="1"/>
  <c r="AJ25" i="16" a="1"/>
  <c r="AJ25" i="16" s="1"/>
  <c r="AG25" i="16" a="1"/>
  <c r="AG25" i="16" s="1"/>
  <c r="AE25" i="16" a="1"/>
  <c r="AE25" i="16" s="1"/>
  <c r="AC25" i="16" a="1"/>
  <c r="AC25" i="16" s="1"/>
  <c r="AA25" i="16" a="1"/>
  <c r="AA25" i="16" s="1"/>
  <c r="X25" i="16" a="1"/>
  <c r="X25" i="16" s="1"/>
  <c r="V25" i="16" a="1"/>
  <c r="V25" i="16" s="1"/>
  <c r="T25" i="16" a="1"/>
  <c r="T25" i="16" s="1"/>
  <c r="R25" i="16" a="1"/>
  <c r="R25" i="16" s="1"/>
  <c r="Q25" i="16" a="1"/>
  <c r="Q25" i="16" s="1"/>
  <c r="O25" i="16" a="1"/>
  <c r="O25" i="16" s="1"/>
  <c r="J25" i="16" a="1"/>
  <c r="J25" i="16" s="1"/>
  <c r="AM24" i="16" a="1"/>
  <c r="AM24" i="16" s="1"/>
  <c r="AL24" i="16" a="1"/>
  <c r="AL24" i="16" s="1"/>
  <c r="AK24" i="16" a="1"/>
  <c r="AK24" i="16" s="1"/>
  <c r="AJ24" i="16" a="1"/>
  <c r="AJ24" i="16" s="1"/>
  <c r="AI24" i="16" a="1"/>
  <c r="AI24" i="16" s="1"/>
  <c r="AG24" i="16" a="1"/>
  <c r="AG24" i="16" s="1"/>
  <c r="AE24" i="16" a="1"/>
  <c r="AE24" i="16" s="1"/>
  <c r="AC24" i="16" a="1"/>
  <c r="AC24" i="16" s="1"/>
  <c r="Z24" i="16" a="1"/>
  <c r="Z24" i="16" s="1"/>
  <c r="X24" i="16" a="1"/>
  <c r="X24" i="16" s="1"/>
  <c r="V24" i="16" a="1"/>
  <c r="V24" i="16" s="1"/>
  <c r="U24" i="16" a="1"/>
  <c r="U24" i="16" s="1"/>
  <c r="S24" i="16" a="1"/>
  <c r="S24" i="16" s="1"/>
  <c r="R24" i="16" a="1"/>
  <c r="R24" i="16" s="1"/>
  <c r="Q24" i="16" a="1"/>
  <c r="Q24" i="16" s="1"/>
  <c r="N24" i="16" a="1"/>
  <c r="N24" i="16" s="1"/>
  <c r="L24" i="16" a="1"/>
  <c r="L24" i="16" s="1"/>
  <c r="J24" i="16" a="1"/>
  <c r="J24" i="16" s="1"/>
  <c r="AM23" i="16" a="1"/>
  <c r="AM23" i="16" s="1"/>
  <c r="AL23" i="16" a="1"/>
  <c r="AL23" i="16" s="1"/>
  <c r="AK23" i="16" a="1"/>
  <c r="AK23" i="16" s="1"/>
  <c r="AJ23" i="16" a="1"/>
  <c r="AJ23" i="16" s="1"/>
  <c r="AI23" i="16" a="1"/>
  <c r="AI23" i="16" s="1"/>
  <c r="AG23" i="16" a="1"/>
  <c r="AG23" i="16" s="1"/>
  <c r="AF23" i="16" a="1"/>
  <c r="AF23" i="16" s="1"/>
  <c r="AE23" i="16" a="1"/>
  <c r="AE23" i="16" s="1"/>
  <c r="AD23" i="16" a="1"/>
  <c r="AD23" i="16" s="1"/>
  <c r="AB23" i="16" a="1"/>
  <c r="AB23" i="16" s="1"/>
  <c r="Y23" i="16" a="1"/>
  <c r="Y23" i="16" s="1"/>
  <c r="W23" i="16" a="1"/>
  <c r="W23" i="16" s="1"/>
  <c r="U23" i="16" a="1"/>
  <c r="U23" i="16" s="1"/>
  <c r="S23" i="16" a="1"/>
  <c r="S23" i="16" s="1"/>
  <c r="R23" i="16" a="1"/>
  <c r="R23" i="16" s="1"/>
  <c r="Q23" i="16" a="1"/>
  <c r="Q23" i="16" s="1"/>
  <c r="P23" i="16" a="1"/>
  <c r="P23" i="16" s="1"/>
  <c r="O23" i="16" a="1"/>
  <c r="O23" i="16" s="1"/>
  <c r="N23" i="16" a="1"/>
  <c r="N23" i="16" s="1"/>
  <c r="K23" i="16" a="1"/>
  <c r="K23" i="16" s="1"/>
  <c r="J23" i="16" a="1"/>
  <c r="J23" i="16" s="1"/>
  <c r="I23" i="16" a="1"/>
  <c r="I23" i="16" s="1"/>
  <c r="AM22" i="16" a="1"/>
  <c r="AM22" i="16" s="1"/>
  <c r="AJ22" i="16" a="1"/>
  <c r="AJ22" i="16" s="1"/>
  <c r="AI22" i="16" a="1"/>
  <c r="AI22" i="16" s="1"/>
  <c r="AG22" i="16" a="1"/>
  <c r="AG22" i="16" s="1"/>
  <c r="AF22" i="16" a="1"/>
  <c r="AF22" i="16" s="1"/>
  <c r="AC22" i="16" a="1"/>
  <c r="AC22" i="16" s="1"/>
  <c r="V22" i="16" a="1"/>
  <c r="V22" i="16" s="1"/>
  <c r="U22" i="16" a="1"/>
  <c r="U22" i="16" s="1"/>
  <c r="Q22" i="16" a="1"/>
  <c r="Q22" i="16" s="1"/>
  <c r="P22" i="16" a="1"/>
  <c r="P22" i="16" s="1"/>
  <c r="O22" i="16" a="1"/>
  <c r="O22" i="16" s="1"/>
  <c r="N22" i="16" a="1"/>
  <c r="N22" i="16" s="1"/>
  <c r="M22" i="16" a="1"/>
  <c r="M22" i="16" s="1"/>
  <c r="L22" i="16" a="1"/>
  <c r="L22" i="16" s="1"/>
  <c r="AM21" i="16" a="1"/>
  <c r="AM21" i="16" s="1"/>
  <c r="AK21" i="16" a="1"/>
  <c r="AK21" i="16" s="1"/>
  <c r="AI21" i="16" a="1"/>
  <c r="AI21" i="16" s="1"/>
  <c r="AG21" i="16" a="1"/>
  <c r="AG21" i="16" s="1"/>
  <c r="AF21" i="16" a="1"/>
  <c r="AF21" i="16" s="1"/>
  <c r="AD21" i="16" a="1"/>
  <c r="AD21" i="16" s="1"/>
  <c r="AB21" i="16" a="1"/>
  <c r="AB21" i="16" s="1"/>
  <c r="Z21" i="16" a="1"/>
  <c r="Z21" i="16" s="1"/>
  <c r="W21" i="16" a="1"/>
  <c r="W21" i="16" s="1"/>
  <c r="V21" i="16" a="1"/>
  <c r="V21" i="16" s="1"/>
  <c r="R21" i="16" a="1"/>
  <c r="R21" i="16" s="1"/>
  <c r="P21" i="16" a="1"/>
  <c r="P21" i="16" s="1"/>
  <c r="O21" i="16" a="1"/>
  <c r="O21" i="16" s="1"/>
  <c r="K21" i="16" a="1"/>
  <c r="K21" i="16" s="1"/>
  <c r="I21" i="16" a="1"/>
  <c r="I21" i="16" s="1"/>
  <c r="AM20" i="16" a="1"/>
  <c r="AM20" i="16" s="1"/>
  <c r="AJ20" i="16" a="1"/>
  <c r="AJ20" i="16" s="1"/>
  <c r="AH20" i="16" a="1"/>
  <c r="AH20" i="16" s="1"/>
  <c r="AF20" i="16" a="1"/>
  <c r="AF20" i="16" s="1"/>
  <c r="AC20" i="16" a="1"/>
  <c r="AC20" i="16" s="1"/>
  <c r="AA20" i="16" a="1"/>
  <c r="AA20" i="16" s="1"/>
  <c r="W20" i="16" a="1"/>
  <c r="W20" i="16" s="1"/>
  <c r="U20" i="16" a="1"/>
  <c r="U20" i="16" s="1"/>
  <c r="T20" i="16" a="1"/>
  <c r="T20" i="16" s="1"/>
  <c r="Q20" i="16" a="1"/>
  <c r="Q20" i="16" s="1"/>
  <c r="P20" i="16" a="1"/>
  <c r="P20" i="16" s="1"/>
  <c r="M20" i="16" a="1"/>
  <c r="M20" i="16" s="1"/>
  <c r="AM19" i="16" a="1"/>
  <c r="AM19" i="16" s="1"/>
  <c r="AL19" i="16" a="1"/>
  <c r="AL19" i="16" s="1"/>
  <c r="AK19" i="16" a="1"/>
  <c r="AK19" i="16" s="1"/>
  <c r="AI19" i="16" a="1"/>
  <c r="AI19" i="16" s="1"/>
  <c r="AG19" i="16" a="1"/>
  <c r="AG19" i="16" s="1"/>
  <c r="AF19" i="16" a="1"/>
  <c r="AF19" i="16" s="1"/>
  <c r="AE19" i="16" a="1"/>
  <c r="AE19" i="16" s="1"/>
  <c r="AC19" i="16" a="1"/>
  <c r="AC19" i="16" s="1"/>
  <c r="AB19" i="16" a="1"/>
  <c r="AB19" i="16" s="1"/>
  <c r="Z19" i="16" a="1"/>
  <c r="Z19" i="16" s="1"/>
  <c r="Y19" i="16" a="1"/>
  <c r="Y19" i="16" s="1"/>
  <c r="X19" i="16" a="1"/>
  <c r="X19" i="16" s="1"/>
  <c r="W19" i="16" a="1"/>
  <c r="W19" i="16" s="1"/>
  <c r="V19" i="16" a="1"/>
  <c r="V19" i="16" s="1"/>
  <c r="U19" i="16" a="1"/>
  <c r="U19" i="16" s="1"/>
  <c r="S19" i="16" a="1"/>
  <c r="S19" i="16" s="1"/>
  <c r="R19" i="16" a="1"/>
  <c r="R19" i="16" s="1"/>
  <c r="Q19" i="16" a="1"/>
  <c r="Q19" i="16" s="1"/>
  <c r="P19" i="16" a="1"/>
  <c r="P19" i="16" s="1"/>
  <c r="O19" i="16" a="1"/>
  <c r="O19" i="16" s="1"/>
  <c r="N19" i="16" a="1"/>
  <c r="N19" i="16" s="1"/>
  <c r="L19" i="16" a="1"/>
  <c r="L19" i="16" s="1"/>
  <c r="J19" i="16" a="1"/>
  <c r="J19" i="16" s="1"/>
  <c r="I19" i="16" a="1"/>
  <c r="I19" i="16" s="1"/>
  <c r="AM18" i="16" a="1"/>
  <c r="AM18" i="16" s="1"/>
  <c r="AK18" i="16" a="1"/>
  <c r="AK18" i="16" s="1"/>
  <c r="AJ18" i="16" a="1"/>
  <c r="AJ18" i="16" s="1"/>
  <c r="AI18" i="16" a="1"/>
  <c r="AI18" i="16" s="1"/>
  <c r="AH18" i="16" a="1"/>
  <c r="AH18" i="16" s="1"/>
  <c r="AG18" i="16" a="1"/>
  <c r="AG18" i="16" s="1"/>
  <c r="AF18" i="16" a="1"/>
  <c r="AF18" i="16" s="1"/>
  <c r="AD18" i="16" a="1"/>
  <c r="AD18" i="16" s="1"/>
  <c r="AA18" i="16" a="1"/>
  <c r="AA18" i="16" s="1"/>
  <c r="Y18" i="16" a="1"/>
  <c r="Y18" i="16" s="1"/>
  <c r="W18" i="16" a="1"/>
  <c r="W18" i="16" s="1"/>
  <c r="V18" i="16" a="1"/>
  <c r="V18" i="16" s="1"/>
  <c r="U18" i="16" a="1"/>
  <c r="U18" i="16" s="1"/>
  <c r="T18" i="16" a="1"/>
  <c r="T18" i="16" s="1"/>
  <c r="R18" i="16" a="1"/>
  <c r="R18" i="16" s="1"/>
  <c r="Q18" i="16" a="1"/>
  <c r="Q18" i="16" s="1"/>
  <c r="P18" i="16" a="1"/>
  <c r="P18" i="16" s="1"/>
  <c r="O18" i="16" a="1"/>
  <c r="O18" i="16" s="1"/>
  <c r="M18" i="16" a="1"/>
  <c r="M18" i="16" s="1"/>
  <c r="K18" i="16" a="1"/>
  <c r="K18" i="16" s="1"/>
  <c r="I18" i="16" a="1"/>
  <c r="I18" i="16" s="1"/>
  <c r="AM17" i="16" a="1"/>
  <c r="AM17" i="16" s="1"/>
  <c r="AK17" i="16" a="1"/>
  <c r="AK17" i="16" s="1"/>
  <c r="AI17" i="16" a="1"/>
  <c r="AI17" i="16" s="1"/>
  <c r="AG17" i="16" a="1"/>
  <c r="AG17" i="16" s="1"/>
  <c r="AF17" i="16" a="1"/>
  <c r="AF17" i="16" s="1"/>
  <c r="AB17" i="16" a="1"/>
  <c r="AB17" i="16" s="1"/>
  <c r="AA17" i="16" a="1"/>
  <c r="AA17" i="16" s="1"/>
  <c r="Y17" i="16" a="1"/>
  <c r="Y17" i="16" s="1"/>
  <c r="X17" i="16" a="1"/>
  <c r="X17" i="16" s="1"/>
  <c r="V17" i="16" a="1"/>
  <c r="V17" i="16" s="1"/>
  <c r="U17" i="16" a="1"/>
  <c r="U17" i="16" s="1"/>
  <c r="R17" i="16" a="1"/>
  <c r="R17" i="16" s="1"/>
  <c r="Q17" i="16" a="1"/>
  <c r="Q17" i="16" s="1"/>
  <c r="O17" i="16" a="1"/>
  <c r="O17" i="16" s="1"/>
  <c r="K17" i="16" a="1"/>
  <c r="K17" i="16" s="1"/>
  <c r="AM16" i="16" a="1"/>
  <c r="AM16" i="16" s="1"/>
  <c r="AL16" i="16" a="1"/>
  <c r="AL16" i="16" s="1"/>
  <c r="AH16" i="16" a="1"/>
  <c r="AH16" i="16" s="1"/>
  <c r="AG16" i="16" a="1"/>
  <c r="AG16" i="16" s="1"/>
  <c r="AF16" i="16" a="1"/>
  <c r="AF16" i="16" s="1"/>
  <c r="AE16" i="16" a="1"/>
  <c r="AE16" i="16" s="1"/>
  <c r="AD16" i="16" a="1"/>
  <c r="AD16" i="16" s="1"/>
  <c r="AC16" i="16" a="1"/>
  <c r="AC16" i="16" s="1"/>
  <c r="AB16" i="16" a="1"/>
  <c r="AB16" i="16" s="1"/>
  <c r="AA16" i="16" a="1"/>
  <c r="AA16" i="16" s="1"/>
  <c r="Z16" i="16" a="1"/>
  <c r="Z16" i="16" s="1"/>
  <c r="Y16" i="16" a="1"/>
  <c r="Y16" i="16" s="1"/>
  <c r="X16" i="16" a="1"/>
  <c r="X16" i="16" s="1"/>
  <c r="W16" i="16" a="1"/>
  <c r="W16" i="16" s="1"/>
  <c r="V16" i="16" a="1"/>
  <c r="V16" i="16" s="1"/>
  <c r="U16" i="16" a="1"/>
  <c r="U16" i="16" s="1"/>
  <c r="Q16" i="16" a="1"/>
  <c r="Q16" i="16" s="1"/>
  <c r="P16" i="16" a="1"/>
  <c r="P16" i="16" s="1"/>
  <c r="O16" i="16" a="1"/>
  <c r="O16" i="16" s="1"/>
  <c r="K16" i="16" a="1"/>
  <c r="K16" i="16" s="1"/>
  <c r="I16" i="16" a="1"/>
  <c r="I16" i="16" s="1"/>
  <c r="AM15" i="16" a="1"/>
  <c r="AM15" i="16" s="1"/>
  <c r="AJ15" i="16" a="1"/>
  <c r="AJ15" i="16" s="1"/>
  <c r="AH15" i="16" a="1"/>
  <c r="AH15" i="16" s="1"/>
  <c r="AG15" i="16" a="1"/>
  <c r="AG15" i="16" s="1"/>
  <c r="AC15" i="16" a="1"/>
  <c r="AC15" i="16" s="1"/>
  <c r="AA15" i="16" a="1"/>
  <c r="AA15" i="16" s="1"/>
  <c r="T15" i="16" a="1"/>
  <c r="T15" i="16" s="1"/>
  <c r="Q15" i="16" a="1"/>
  <c r="Q15" i="16" s="1"/>
  <c r="P15" i="16" a="1"/>
  <c r="P15" i="16" s="1"/>
  <c r="O15" i="16" a="1"/>
  <c r="O15" i="16" s="1"/>
  <c r="N15" i="16" a="1"/>
  <c r="N15" i="16" s="1"/>
  <c r="M15" i="16" a="1"/>
  <c r="M15" i="16" s="1"/>
  <c r="L15" i="16" a="1"/>
  <c r="L15" i="16" s="1"/>
  <c r="K15" i="16" a="1"/>
  <c r="K15" i="16" s="1"/>
  <c r="J15" i="16" a="1"/>
  <c r="J15" i="16" s="1"/>
  <c r="I15" i="16" a="1"/>
  <c r="I15" i="16" s="1"/>
  <c r="AJ14" i="16" a="1"/>
  <c r="AJ14" i="16" s="1"/>
  <c r="AI14" i="16" a="1"/>
  <c r="AI14" i="16" s="1"/>
  <c r="AH14" i="16" a="1"/>
  <c r="AH14" i="16" s="1"/>
  <c r="AG14" i="16" a="1"/>
  <c r="AG14" i="16" s="1"/>
  <c r="AF14" i="16" a="1"/>
  <c r="AF14" i="16" s="1"/>
  <c r="AC14" i="16" a="1"/>
  <c r="AC14" i="16" s="1"/>
  <c r="AB14" i="16" a="1"/>
  <c r="AB14" i="16" s="1"/>
  <c r="Z14" i="16" a="1"/>
  <c r="Z14" i="16" s="1"/>
  <c r="V14" i="16" a="1"/>
  <c r="V14" i="16" s="1"/>
  <c r="U14" i="16" a="1"/>
  <c r="U14" i="16" s="1"/>
  <c r="T14" i="16" a="1"/>
  <c r="T14" i="16" s="1"/>
  <c r="S14" i="16" a="1"/>
  <c r="S14" i="16" s="1"/>
  <c r="O14" i="16" a="1"/>
  <c r="O14" i="16" s="1"/>
  <c r="N14" i="16" a="1"/>
  <c r="N14" i="16" s="1"/>
  <c r="I14" i="16" a="1"/>
  <c r="I14" i="16" s="1"/>
  <c r="AM13" i="16" a="1"/>
  <c r="AM13" i="16" s="1"/>
  <c r="AK13" i="16" a="1"/>
  <c r="AK13" i="16" s="1"/>
  <c r="AJ13" i="16" a="1"/>
  <c r="AJ13" i="16" s="1"/>
  <c r="AG13" i="16" a="1"/>
  <c r="AG13" i="16" s="1"/>
  <c r="AF13" i="16" a="1"/>
  <c r="AF13" i="16" s="1"/>
  <c r="AC13" i="16" a="1"/>
  <c r="AC13" i="16" s="1"/>
  <c r="Z13" i="16" a="1"/>
  <c r="Z13" i="16" s="1"/>
  <c r="V13" i="16" a="1"/>
  <c r="V13" i="16" s="1"/>
  <c r="O13" i="16" a="1"/>
  <c r="O13" i="16" s="1"/>
  <c r="L13" i="16" a="1"/>
  <c r="L13" i="16" s="1"/>
  <c r="AM12" i="16" a="1"/>
  <c r="AM12" i="16" s="1"/>
  <c r="AL12" i="16" a="1"/>
  <c r="AL12" i="16" s="1"/>
  <c r="AK12" i="16" a="1"/>
  <c r="AK12" i="16" s="1"/>
  <c r="AJ12" i="16" a="1"/>
  <c r="AJ12" i="16" s="1"/>
  <c r="AI12" i="16" a="1"/>
  <c r="AI12" i="16" s="1"/>
  <c r="AH12" i="16" a="1"/>
  <c r="AH12" i="16" s="1"/>
  <c r="AG12" i="16" a="1"/>
  <c r="AG12" i="16" s="1"/>
  <c r="AF12" i="16" a="1"/>
  <c r="AF12" i="16" s="1"/>
  <c r="AC12" i="16" a="1"/>
  <c r="AC12" i="16" s="1"/>
  <c r="Y12" i="16" a="1"/>
  <c r="Y12" i="16" s="1"/>
  <c r="X12" i="16" a="1"/>
  <c r="X12" i="16" s="1"/>
  <c r="V12" i="16" a="1"/>
  <c r="V12" i="16" s="1"/>
  <c r="U12" i="16" a="1"/>
  <c r="U12" i="16" s="1"/>
  <c r="T12" i="16" a="1"/>
  <c r="T12" i="16" s="1"/>
  <c r="R12" i="16" a="1"/>
  <c r="R12" i="16" s="1"/>
  <c r="Q12" i="16" a="1"/>
  <c r="Q12" i="16" s="1"/>
  <c r="P12" i="16" a="1"/>
  <c r="P12" i="16" s="1"/>
  <c r="O12" i="16" a="1"/>
  <c r="O12" i="16" s="1"/>
  <c r="N12" i="16" a="1"/>
  <c r="N12" i="16" s="1"/>
  <c r="AM11" i="16" a="1"/>
  <c r="AM11" i="16" s="1"/>
  <c r="AL11" i="16" a="1"/>
  <c r="AL11" i="16" s="1"/>
  <c r="AJ11" i="16" a="1"/>
  <c r="AJ11" i="16" s="1"/>
  <c r="AG11" i="16" a="1"/>
  <c r="AG11" i="16" s="1"/>
  <c r="AF11" i="16" a="1"/>
  <c r="AF11" i="16" s="1"/>
  <c r="AE11" i="16" a="1"/>
  <c r="AE11" i="16" s="1"/>
  <c r="AC11" i="16" a="1"/>
  <c r="AC11" i="16" s="1"/>
  <c r="X11" i="16" a="1"/>
  <c r="X11" i="16" s="1"/>
  <c r="V11" i="16" a="1"/>
  <c r="V11" i="16" s="1"/>
  <c r="Q11" i="16" a="1"/>
  <c r="Q11" i="16" s="1"/>
  <c r="P11" i="16" a="1"/>
  <c r="P11" i="16" s="1"/>
  <c r="O11" i="16" a="1"/>
  <c r="O11" i="16" s="1"/>
  <c r="J11" i="16" a="1"/>
  <c r="J11" i="16" s="1"/>
  <c r="AJ10" i="16" a="1"/>
  <c r="AJ10" i="16" s="1"/>
  <c r="AI10" i="16" a="1"/>
  <c r="AI10" i="16" s="1"/>
  <c r="AH10" i="16" a="1"/>
  <c r="AH10" i="16" s="1"/>
  <c r="AG10" i="16" a="1"/>
  <c r="AG10" i="16" s="1"/>
  <c r="AF10" i="16" a="1"/>
  <c r="AF10" i="16" s="1"/>
  <c r="AE10" i="16" a="1"/>
  <c r="AE10" i="16" s="1"/>
  <c r="AD10" i="16" a="1"/>
  <c r="AD10" i="16" s="1"/>
  <c r="AC10" i="16" a="1"/>
  <c r="AC10" i="16" s="1"/>
  <c r="AB10" i="16" a="1"/>
  <c r="AB10" i="16" s="1"/>
  <c r="AA10" i="16" a="1"/>
  <c r="AA10" i="16" s="1"/>
  <c r="V10" i="16" a="1"/>
  <c r="V10" i="16" s="1"/>
  <c r="U10" i="16" a="1"/>
  <c r="U10" i="16" s="1"/>
  <c r="T10" i="16" a="1"/>
  <c r="T10" i="16" s="1"/>
  <c r="Q10" i="16" a="1"/>
  <c r="Q10" i="16" s="1"/>
  <c r="P10" i="16" a="1"/>
  <c r="P10" i="16" s="1"/>
  <c r="O10" i="16" a="1"/>
  <c r="O10" i="16" s="1"/>
  <c r="N10" i="16" a="1"/>
  <c r="N10" i="16" s="1"/>
  <c r="M10" i="16" a="1"/>
  <c r="M10" i="16" s="1"/>
  <c r="AL9" i="16" a="1"/>
  <c r="AL9" i="16" s="1"/>
  <c r="AK9" i="16" a="1"/>
  <c r="AK9" i="16" s="1"/>
  <c r="AJ9" i="16" a="1"/>
  <c r="AJ9" i="16" s="1"/>
  <c r="AI9" i="16" a="1"/>
  <c r="AI9" i="16" s="1"/>
  <c r="AE9" i="16" a="1"/>
  <c r="AE9" i="16" s="1"/>
  <c r="AC9" i="16" a="1"/>
  <c r="AC9" i="16" s="1"/>
  <c r="AB9" i="16" a="1"/>
  <c r="AB9" i="16" s="1"/>
  <c r="Z9" i="16" a="1"/>
  <c r="Z9" i="16" s="1"/>
  <c r="X9" i="16" a="1"/>
  <c r="X9" i="16" s="1"/>
  <c r="U9" i="16" a="1"/>
  <c r="U9" i="16" s="1"/>
  <c r="S9" i="16" a="1"/>
  <c r="S9" i="16" s="1"/>
  <c r="Q9" i="16" a="1"/>
  <c r="Q9" i="16" s="1"/>
  <c r="O9" i="16" a="1"/>
  <c r="O9" i="16" s="1"/>
  <c r="N9" i="16" a="1"/>
  <c r="N9" i="16" s="1"/>
  <c r="L9" i="16" a="1"/>
  <c r="L9" i="16" s="1"/>
  <c r="J9" i="16" a="1"/>
  <c r="J9" i="16" s="1"/>
  <c r="AL8" i="16" a="1"/>
  <c r="AL8" i="16" s="1"/>
  <c r="AK8" i="16" a="1"/>
  <c r="AK8" i="16" s="1"/>
  <c r="AJ8" i="16" a="1"/>
  <c r="AJ8" i="16" s="1"/>
  <c r="AI8" i="16" a="1"/>
  <c r="AI8" i="16" s="1"/>
  <c r="AH8" i="16" a="1"/>
  <c r="AH8" i="16" s="1"/>
  <c r="AG8" i="16" a="1"/>
  <c r="AG8" i="16" s="1"/>
  <c r="AF8" i="16" a="1"/>
  <c r="AF8" i="16" s="1"/>
  <c r="AE8" i="16" a="1"/>
  <c r="AE8" i="16" s="1"/>
  <c r="AC8" i="16" a="1"/>
  <c r="AC8" i="16" s="1"/>
  <c r="AB8" i="16" a="1"/>
  <c r="AB8" i="16" s="1"/>
  <c r="Z8" i="16" a="1"/>
  <c r="Z8" i="16" s="1"/>
  <c r="X8" i="16" a="1"/>
  <c r="X8" i="16" s="1"/>
  <c r="V8" i="16" a="1"/>
  <c r="V8" i="16" s="1"/>
  <c r="U8" i="16" a="1"/>
  <c r="U8" i="16" s="1"/>
  <c r="S8" i="16" a="1"/>
  <c r="S8" i="16" s="1"/>
  <c r="Q8" i="16" a="1"/>
  <c r="Q8" i="16" s="1"/>
  <c r="P8" i="16" a="1"/>
  <c r="P8" i="16" s="1"/>
  <c r="O8" i="16" a="1"/>
  <c r="O8" i="16" s="1"/>
  <c r="N8" i="16" a="1"/>
  <c r="N8" i="16" s="1"/>
  <c r="L8" i="16" a="1"/>
  <c r="L8" i="16" s="1"/>
  <c r="J8" i="16" a="1"/>
  <c r="J8" i="16" s="1"/>
  <c r="AK7" i="16" a="1"/>
  <c r="AK7" i="16" s="1"/>
  <c r="AJ7" i="16" a="1"/>
  <c r="AJ7" i="16" s="1"/>
  <c r="AI7" i="16" a="1"/>
  <c r="AI7" i="16" s="1"/>
  <c r="AH7" i="16" a="1"/>
  <c r="AH7" i="16" s="1"/>
  <c r="AG7" i="16" a="1"/>
  <c r="AG7" i="16" s="1"/>
  <c r="AD7" i="16" a="1"/>
  <c r="AD7" i="16" s="1"/>
  <c r="AC7" i="16" a="1"/>
  <c r="AC7" i="16" s="1"/>
  <c r="AB7" i="16" a="1"/>
  <c r="AB7" i="16" s="1"/>
  <c r="AA7" i="16" a="1"/>
  <c r="AA7" i="16" s="1"/>
  <c r="W7" i="16" a="1"/>
  <c r="W7" i="16" s="1"/>
  <c r="T7" i="16" a="1"/>
  <c r="T7" i="16" s="1"/>
  <c r="P7" i="16" a="1"/>
  <c r="P7" i="16" s="1"/>
  <c r="O7" i="16" a="1"/>
  <c r="O7" i="16" s="1"/>
  <c r="N7" i="16" a="1"/>
  <c r="N7" i="16" s="1"/>
  <c r="M7" i="16" a="1"/>
  <c r="M7" i="16" s="1"/>
  <c r="I7" i="16" a="1"/>
  <c r="I7" i="16" s="1"/>
  <c r="AM6" i="16" a="1"/>
  <c r="AM6" i="16" s="1"/>
  <c r="AL6" i="16" a="1"/>
  <c r="AL6" i="16" s="1"/>
  <c r="AK6" i="16" a="1"/>
  <c r="AK6" i="16" s="1"/>
  <c r="AJ6" i="16" a="1"/>
  <c r="AJ6" i="16" s="1"/>
  <c r="AI6" i="16" a="1"/>
  <c r="AI6" i="16" s="1"/>
  <c r="AH6" i="16" a="1"/>
  <c r="AH6" i="16" s="1"/>
  <c r="AG6" i="16" a="1"/>
  <c r="AG6" i="16" s="1"/>
  <c r="AF6" i="16" a="1"/>
  <c r="AF6" i="16" s="1"/>
  <c r="AE6" i="16" a="1"/>
  <c r="AE6" i="16" s="1"/>
  <c r="AD6" i="16" a="1"/>
  <c r="AD6" i="16" s="1"/>
  <c r="AC6" i="16" a="1"/>
  <c r="AC6" i="16" s="1"/>
  <c r="AB6" i="16" a="1"/>
  <c r="AB6" i="16" s="1"/>
  <c r="AA6" i="16" a="1"/>
  <c r="AA6" i="16" s="1"/>
  <c r="Z6" i="16" a="1"/>
  <c r="Z6" i="16" s="1"/>
  <c r="Y6" i="16" a="1"/>
  <c r="Y6" i="16" s="1"/>
  <c r="X6" i="16" a="1"/>
  <c r="X6" i="16" s="1"/>
  <c r="W6" i="16" a="1"/>
  <c r="W6" i="16" s="1"/>
  <c r="V6" i="16" a="1"/>
  <c r="V6" i="16" s="1"/>
  <c r="U6" i="16" a="1"/>
  <c r="U6" i="16" s="1"/>
  <c r="T6" i="16" a="1"/>
  <c r="T6" i="16" s="1"/>
  <c r="S6" i="16" a="1"/>
  <c r="S6" i="16" s="1"/>
  <c r="R6" i="16" a="1"/>
  <c r="R6" i="16" s="1"/>
  <c r="Q6" i="16" a="1"/>
  <c r="Q6" i="16" s="1"/>
  <c r="P6" i="16" a="1"/>
  <c r="P6" i="16" s="1"/>
  <c r="O6" i="16" a="1"/>
  <c r="O6" i="16" s="1"/>
  <c r="N6" i="16" a="1"/>
  <c r="N6" i="16" s="1"/>
  <c r="M6" i="16" a="1"/>
  <c r="M6" i="16" s="1"/>
  <c r="L6" i="16" a="1"/>
  <c r="L6" i="16" s="1"/>
  <c r="K6" i="16" a="1"/>
  <c r="K6" i="16" s="1"/>
  <c r="J6" i="16" a="1"/>
  <c r="J6" i="16" s="1"/>
  <c r="I6" i="16" a="1"/>
  <c r="I6" i="16" s="1"/>
  <c r="AM5" i="16" a="1"/>
  <c r="AM5" i="16" s="1"/>
  <c r="AK5" i="16" a="1"/>
  <c r="AK5" i="16" s="1"/>
  <c r="AJ5" i="16" a="1"/>
  <c r="AJ5" i="16" s="1"/>
  <c r="AG5" i="16" a="1"/>
  <c r="AG5" i="16" s="1"/>
  <c r="AF5" i="16" a="1"/>
  <c r="AF5" i="16" s="1"/>
  <c r="AE5" i="16" a="1"/>
  <c r="AE5" i="16" s="1"/>
  <c r="AD5" i="16" a="1"/>
  <c r="AD5" i="16" s="1"/>
  <c r="AC5" i="16" a="1"/>
  <c r="AC5" i="16" s="1"/>
  <c r="AB5" i="16" a="1"/>
  <c r="AB5" i="16" s="1"/>
  <c r="AA5" i="16" a="1"/>
  <c r="AA5" i="16" s="1"/>
  <c r="V5" i="16" a="1"/>
  <c r="V5" i="16" s="1"/>
  <c r="U5" i="16" a="1"/>
  <c r="U5" i="16" s="1"/>
  <c r="T5" i="16" a="1"/>
  <c r="T5" i="16" s="1"/>
  <c r="S5" i="16" a="1"/>
  <c r="S5" i="16" s="1"/>
  <c r="P5" i="16" a="1"/>
  <c r="P5" i="16" s="1"/>
  <c r="O5" i="16" a="1"/>
  <c r="O5" i="16" s="1"/>
  <c r="M5" i="16" a="1"/>
  <c r="M5" i="16" s="1"/>
  <c r="K5" i="16" a="1"/>
  <c r="K5" i="16" s="1"/>
  <c r="AM4" i="16" a="1"/>
  <c r="AM4" i="16" s="1"/>
  <c r="AJ4" i="16" a="1"/>
  <c r="AJ4" i="16" s="1"/>
  <c r="AI4" i="16" a="1"/>
  <c r="AI4" i="16" s="1"/>
  <c r="AG4" i="16" a="1"/>
  <c r="AG4" i="16" s="1"/>
  <c r="AC4" i="16" a="1"/>
  <c r="AC4" i="16" s="1"/>
  <c r="AB4" i="16" a="1"/>
  <c r="AB4" i="16" s="1"/>
  <c r="V4" i="16" a="1"/>
  <c r="V4" i="16" s="1"/>
  <c r="U4" i="16" a="1"/>
  <c r="U4" i="16" s="1"/>
  <c r="S4" i="16" a="1"/>
  <c r="S4" i="16" s="1"/>
  <c r="Q4" i="16" a="1"/>
  <c r="Q4" i="16" s="1"/>
  <c r="P4" i="16" a="1"/>
  <c r="P4" i="16" s="1"/>
  <c r="O4" i="16" a="1"/>
  <c r="O4" i="16" s="1"/>
  <c r="N4" i="16" a="1"/>
  <c r="N4" i="16" s="1"/>
  <c r="AM3" i="16" a="1"/>
  <c r="AM3" i="16" s="1"/>
  <c r="AL3" i="16" a="1"/>
  <c r="AL3" i="16" s="1"/>
  <c r="AK3" i="16" a="1"/>
  <c r="AK3" i="16" s="1"/>
  <c r="AJ3" i="16" a="1"/>
  <c r="AJ3" i="16" s="1"/>
  <c r="AI3" i="16" a="1"/>
  <c r="AI3" i="16" s="1"/>
  <c r="AH3" i="16" a="1"/>
  <c r="AH3" i="16" s="1"/>
  <c r="AG3" i="16" a="1"/>
  <c r="AG3" i="16" s="1"/>
  <c r="AF3" i="16" a="1"/>
  <c r="AF3" i="16" s="1"/>
  <c r="AE3" i="16" a="1"/>
  <c r="AE3" i="16" s="1"/>
  <c r="AD3" i="16" a="1"/>
  <c r="AD3" i="16" s="1"/>
  <c r="AC3" i="16" a="1"/>
  <c r="AC3" i="16" s="1"/>
  <c r="AB3" i="16" a="1"/>
  <c r="AB3" i="16" s="1"/>
  <c r="AA3" i="16" a="1"/>
  <c r="AA3" i="16" s="1"/>
  <c r="Z3" i="16" a="1"/>
  <c r="Z3" i="16" s="1"/>
  <c r="Y3" i="16" a="1"/>
  <c r="Y3" i="16" s="1"/>
  <c r="X3" i="16" a="1"/>
  <c r="X3" i="16" s="1"/>
  <c r="V3" i="16" a="1"/>
  <c r="V3" i="16" s="1"/>
  <c r="T3" i="16" a="1"/>
  <c r="T3" i="16" s="1"/>
  <c r="P3" i="16" a="1"/>
  <c r="P3" i="16" s="1"/>
  <c r="K3" i="16" a="1"/>
  <c r="K3" i="16" s="1"/>
  <c r="I3" i="16" a="1"/>
  <c r="I3" i="16" s="1"/>
  <c r="E3" i="16"/>
  <c r="F3" i="16" s="1"/>
  <c r="Q7" i="16" l="1" a="1"/>
  <c r="Q7" i="16" s="1"/>
  <c r="Q43" i="16" s="1"/>
  <c r="AI30" i="16" a="1"/>
  <c r="AI30" i="16" s="1"/>
  <c r="AH31" i="16" a="1"/>
  <c r="AH31" i="16" s="1"/>
  <c r="AH43" i="16" s="1"/>
  <c r="O24" i="16" a="1"/>
  <c r="O24" i="16" s="1"/>
  <c r="O43" i="16" s="1"/>
  <c r="AI35" i="16" a="1"/>
  <c r="AI35" i="16" s="1"/>
  <c r="R5" i="16" a="1"/>
  <c r="R5" i="16" s="1"/>
  <c r="R43" i="16" s="1"/>
  <c r="AF24" i="16" a="1"/>
  <c r="AF24" i="16" s="1"/>
  <c r="AF43" i="16" s="1"/>
  <c r="AC18" i="16" a="1"/>
  <c r="AC18" i="16" s="1"/>
  <c r="AN18" i="16" s="1"/>
  <c r="X4" i="16" a="1"/>
  <c r="X4" i="16" s="1"/>
  <c r="X43" i="16" s="1"/>
  <c r="Y35" i="16" a="1"/>
  <c r="Y35" i="16" s="1"/>
  <c r="S31" i="16" a="1"/>
  <c r="S31" i="16" s="1"/>
  <c r="J12" i="16" a="1"/>
  <c r="J12" i="16" s="1"/>
  <c r="AN12" i="16" s="1"/>
  <c r="Y4" i="16" a="1"/>
  <c r="Y4" i="16" s="1"/>
  <c r="W9" i="16" a="1"/>
  <c r="W9" i="16" s="1"/>
  <c r="AN9" i="16" s="1"/>
  <c r="U7" i="16" a="1"/>
  <c r="U7" i="16" s="1"/>
  <c r="U43" i="16" s="1"/>
  <c r="I5" i="16" a="1"/>
  <c r="I5" i="16" s="1"/>
  <c r="V30" i="16" a="1"/>
  <c r="V30" i="16" s="1"/>
  <c r="Y5" i="16" a="1"/>
  <c r="Y5" i="16" s="1"/>
  <c r="AL4" i="16" a="1"/>
  <c r="AL4" i="16" s="1"/>
  <c r="AL43" i="16" s="1"/>
  <c r="Y15" i="16" a="1"/>
  <c r="Y15" i="16" s="1"/>
  <c r="AN15" i="16" s="1"/>
  <c r="AP15" i="16" s="1"/>
  <c r="AK4" i="16" a="1"/>
  <c r="AK4" i="16" s="1"/>
  <c r="AN37" i="16"/>
  <c r="AP37" i="16" s="1"/>
  <c r="AN21" i="16"/>
  <c r="AP21" i="16" s="1"/>
  <c r="T43" i="16"/>
  <c r="AN28" i="16"/>
  <c r="AP28" i="16" s="1"/>
  <c r="K43" i="16"/>
  <c r="L43" i="16"/>
  <c r="AN8" i="16"/>
  <c r="AN16" i="16"/>
  <c r="AN22" i="16"/>
  <c r="AP22" i="16" s="1"/>
  <c r="M43" i="16"/>
  <c r="AN13" i="16"/>
  <c r="AP13" i="16" s="1"/>
  <c r="AN20" i="16"/>
  <c r="AP20" i="16" s="1"/>
  <c r="N43" i="16"/>
  <c r="AJ43" i="16"/>
  <c r="AN14" i="16"/>
  <c r="AP14" i="16" s="1"/>
  <c r="AN33" i="16"/>
  <c r="AP33" i="16" s="1"/>
  <c r="AN17" i="16"/>
  <c r="AP17" i="16" s="1"/>
  <c r="AN3" i="16"/>
  <c r="P43" i="16"/>
  <c r="AA43" i="16"/>
  <c r="AB43" i="16"/>
  <c r="AN25" i="16"/>
  <c r="AP25" i="16" s="1"/>
  <c r="AN41" i="16"/>
  <c r="AP41" i="16" s="1"/>
  <c r="AD43" i="16"/>
  <c r="AN10" i="16"/>
  <c r="AN6" i="16"/>
  <c r="AU6" i="16" s="1"/>
  <c r="AN39" i="16"/>
  <c r="AP39" i="16" s="1"/>
  <c r="AN29" i="16"/>
  <c r="AP29" i="16" s="1"/>
  <c r="AM43" i="16"/>
  <c r="AN40" i="16"/>
  <c r="AP40" i="16" s="1"/>
  <c r="Z43" i="16"/>
  <c r="AN36" i="16"/>
  <c r="AP36" i="16" s="1"/>
  <c r="AN19" i="16"/>
  <c r="AP19" i="16" s="1"/>
  <c r="AN32" i="16"/>
  <c r="AP32" i="16" s="1"/>
  <c r="AE43" i="16"/>
  <c r="AN23" i="16"/>
  <c r="AP23" i="16" s="1"/>
  <c r="AG43" i="16"/>
  <c r="AN34" i="16"/>
  <c r="AP34" i="16" s="1"/>
  <c r="AN26" i="16"/>
  <c r="AP26" i="16" s="1"/>
  <c r="AN38" i="16"/>
  <c r="AP38" i="16" s="1"/>
  <c r="AN42" i="16"/>
  <c r="AP42" i="16" s="1"/>
  <c r="AU41" i="16" l="1"/>
  <c r="AX37" i="16"/>
  <c r="AQ28" i="16"/>
  <c r="AX32" i="16"/>
  <c r="AQ21" i="16"/>
  <c r="AX26" i="16"/>
  <c r="AX34" i="16"/>
  <c r="AX19" i="16"/>
  <c r="AX36" i="16"/>
  <c r="AX33" i="16"/>
  <c r="AQ15" i="16"/>
  <c r="AX42" i="16"/>
  <c r="AX38" i="16"/>
  <c r="AX40" i="16"/>
  <c r="AX39" i="16"/>
  <c r="I11" i="16" a="1"/>
  <c r="I11" i="16" s="1"/>
  <c r="AN11" i="16" s="1"/>
  <c r="AP11" i="16" s="1"/>
  <c r="I27" i="16" a="1"/>
  <c r="I27" i="16" s="1"/>
  <c r="AN27" i="16" s="1"/>
  <c r="AP27" i="16" s="1"/>
  <c r="AC43" i="16"/>
  <c r="AI43" i="16"/>
  <c r="AN31" i="16"/>
  <c r="AP31" i="16" s="1"/>
  <c r="AN30" i="16"/>
  <c r="AP30" i="16" s="1"/>
  <c r="AN35" i="16"/>
  <c r="AP35" i="16" s="1"/>
  <c r="AN24" i="16"/>
  <c r="AT24" i="16" s="1"/>
  <c r="Y43" i="16"/>
  <c r="W43" i="16"/>
  <c r="S43" i="16"/>
  <c r="AN5" i="16"/>
  <c r="AP5" i="16" s="1"/>
  <c r="J43" i="16"/>
  <c r="AN4" i="16"/>
  <c r="AP4" i="16" s="1"/>
  <c r="AN7" i="16"/>
  <c r="V43" i="16"/>
  <c r="AK43" i="16"/>
  <c r="AP6" i="16"/>
  <c r="AT6" i="16"/>
  <c r="AQ25" i="16"/>
  <c r="AS12" i="16"/>
  <c r="AP12" i="16"/>
  <c r="AQ22" i="16"/>
  <c r="AP10" i="16"/>
  <c r="AS10" i="16"/>
  <c r="AQ17" i="16"/>
  <c r="AU8" i="16"/>
  <c r="AP8" i="16"/>
  <c r="AT8" i="16"/>
  <c r="AR8" i="16"/>
  <c r="AQ29" i="16"/>
  <c r="AQ23" i="16"/>
  <c r="AQ20" i="16"/>
  <c r="AS9" i="16"/>
  <c r="AP9" i="16"/>
  <c r="AQ14" i="16"/>
  <c r="AP3" i="16"/>
  <c r="AU18" i="16"/>
  <c r="AP18" i="16"/>
  <c r="AR18" i="16"/>
  <c r="AT18" i="16"/>
  <c r="AU16" i="16"/>
  <c r="AT16" i="16"/>
  <c r="AR16" i="16"/>
  <c r="AP16" i="16"/>
  <c r="AQ13" i="16"/>
  <c r="AX20" i="16" l="1"/>
  <c r="AX23" i="16"/>
  <c r="AX29" i="16"/>
  <c r="AX13" i="16"/>
  <c r="AX21" i="16"/>
  <c r="AX22" i="16"/>
  <c r="AX14" i="16"/>
  <c r="AX15" i="16"/>
  <c r="AX28" i="16"/>
  <c r="AX17" i="16"/>
  <c r="AX25" i="16"/>
  <c r="AQ11" i="16"/>
  <c r="AR7" i="16"/>
  <c r="AU7" i="16"/>
  <c r="AT7" i="16"/>
  <c r="AT43" i="16" s="1"/>
  <c r="AQ5" i="16"/>
  <c r="AQ27" i="16"/>
  <c r="AQ4" i="16"/>
  <c r="AQ31" i="16"/>
  <c r="AX35" i="16"/>
  <c r="AQ30" i="16"/>
  <c r="I43" i="16"/>
  <c r="AP24" i="16"/>
  <c r="AR24" i="16"/>
  <c r="AU24" i="16"/>
  <c r="AP7" i="16"/>
  <c r="AS30" i="16"/>
  <c r="AS43" i="16" s="1"/>
  <c r="AN43" i="16"/>
  <c r="AX41" i="16"/>
  <c r="AQ10" i="16"/>
  <c r="AX18" i="16"/>
  <c r="AQ12" i="16"/>
  <c r="AQ16" i="16"/>
  <c r="AQ8" i="16"/>
  <c r="AQ9" i="16"/>
  <c r="AQ3" i="16"/>
  <c r="AX6" i="16"/>
  <c r="AU43" i="16" l="1"/>
  <c r="AX10" i="16"/>
  <c r="AX4" i="16"/>
  <c r="AX27" i="16"/>
  <c r="AX5" i="16"/>
  <c r="AX11" i="16"/>
  <c r="AX9" i="16"/>
  <c r="AX8" i="16"/>
  <c r="AX16" i="16"/>
  <c r="AX12" i="16"/>
  <c r="AX31" i="16"/>
  <c r="AQ7" i="16"/>
  <c r="AP43" i="16"/>
  <c r="AR43" i="16"/>
  <c r="AX24" i="16"/>
  <c r="AX30" i="16"/>
  <c r="AX3" i="16"/>
  <c r="AX7" i="16" l="1"/>
  <c r="AX43" i="16" s="1"/>
  <c r="AQ43" i="16"/>
  <c r="AR45" i="16" s="1"/>
  <c r="AR46" i="16" s="1"/>
  <c r="AR47" i="16" s="1"/>
  <c r="F3" i="18" l="1"/>
  <c r="C6" i="18" s="1"/>
  <c r="D6" i="18" s="1"/>
  <c r="G6" i="1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AO2" authorId="0" shapeId="0" xr:uid="{64D789FF-4BD3-4774-B0FF-F6B8E08FBAF4}">
      <text>
        <r>
          <rPr>
            <b/>
            <sz val="9"/>
            <color indexed="81"/>
            <rFont val="Tahoma"/>
            <charset val="1"/>
          </rPr>
          <t>ESTO ES DE OTRA SEDE, LO SUMAMOS PORQUE ES EL MISMO STAFF QUE VAN A GUARDIA CIVIL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<sst xmlns="http://schemas.openxmlformats.org/spreadsheetml/2006/main" count="646" uniqueCount="72">
  <si>
    <t>Fecha</t>
  </si>
  <si>
    <t>Anestesiólogo</t>
  </si>
  <si>
    <t>Hora de Ingreso</t>
  </si>
  <si>
    <t>Hora de Salida</t>
  </si>
  <si>
    <t>PEDRO VERA</t>
  </si>
  <si>
    <t>CARLOS SANCHEZ</t>
  </si>
  <si>
    <t>JOSE NOVOA</t>
  </si>
  <si>
    <t>NADIA CASTILLO</t>
  </si>
  <si>
    <t>SILVIA COAGUILA</t>
  </si>
  <si>
    <t>LUN</t>
  </si>
  <si>
    <t>MAR</t>
  </si>
  <si>
    <t>MIER</t>
  </si>
  <si>
    <t>JUE</t>
  </si>
  <si>
    <t>VIE</t>
  </si>
  <si>
    <t>SAB</t>
  </si>
  <si>
    <t>DOM</t>
  </si>
  <si>
    <t>ASISTENCIA</t>
  </si>
  <si>
    <t>EXCLUSIVIDAD</t>
  </si>
  <si>
    <t>RETEN</t>
  </si>
  <si>
    <t>ENCARGATURAS</t>
  </si>
  <si>
    <t>RNE</t>
  </si>
  <si>
    <t>ACTIVIDAD ACADEMICA 27</t>
  </si>
  <si>
    <t>VACACIONES</t>
  </si>
  <si>
    <t>ELIZABETH ENRIQUEZ</t>
  </si>
  <si>
    <t>MARIA GAMERO</t>
  </si>
  <si>
    <t>FLOR MONTENEGRO</t>
  </si>
  <si>
    <t>SILVIA NORIEGA</t>
  </si>
  <si>
    <t>ROXANA PACHAMANGO</t>
  </si>
  <si>
    <t>MIGUEL PEREZ</t>
  </si>
  <si>
    <t>LUIS PORTEROS</t>
  </si>
  <si>
    <t>MILY SALIRROSAS</t>
  </si>
  <si>
    <t>VICTOR SARDON</t>
  </si>
  <si>
    <t>JOHN VILLANUEVA</t>
  </si>
  <si>
    <t>JESUS VIDAURRE</t>
  </si>
  <si>
    <t>DENNIS ARCAYA</t>
  </si>
  <si>
    <t>JORGE NAJAR</t>
  </si>
  <si>
    <t>JORGE QUISPE</t>
  </si>
  <si>
    <t>GISELLE RIVERA</t>
  </si>
  <si>
    <t>JOEL ZAMORA</t>
  </si>
  <si>
    <t>KARINA VEGA</t>
  </si>
  <si>
    <t>SINTHIA FARFAN</t>
  </si>
  <si>
    <t>BETTHINA AVALOS</t>
  </si>
  <si>
    <t>CRISS MASCARO</t>
  </si>
  <si>
    <t>RICARDO LARREA</t>
  </si>
  <si>
    <t>OMAR AMES</t>
  </si>
  <si>
    <t>DANIEL REBAZA</t>
  </si>
  <si>
    <t>ASTRID INFANTE</t>
  </si>
  <si>
    <t>JONATHAN PEREZ</t>
  </si>
  <si>
    <t>MARCELA SECLEN</t>
  </si>
  <si>
    <t>FRANCISCO BARTRA</t>
  </si>
  <si>
    <t>MILAGRITOS ZAPATA</t>
  </si>
  <si>
    <t>ROSA MORMONTOY</t>
  </si>
  <si>
    <t>MIRIAM MAYTA</t>
  </si>
  <si>
    <t>WALTER CAVERO</t>
  </si>
  <si>
    <t>ORIALIZ VELASQUEZ</t>
  </si>
  <si>
    <t>RODRIGO ARIAS</t>
  </si>
  <si>
    <t>CARLOS CAVERO</t>
  </si>
  <si>
    <t>Horas Trabajadas</t>
  </si>
  <si>
    <t>Puntos</t>
  </si>
  <si>
    <t>0.05</t>
  </si>
  <si>
    <t>TOTAL</t>
  </si>
  <si>
    <t>PROC</t>
  </si>
  <si>
    <t>GC</t>
  </si>
  <si>
    <t>MARIA JOSE QUIROGA</t>
  </si>
  <si>
    <t>ANGEL ALEJO</t>
  </si>
  <si>
    <t>ENERO 2026</t>
  </si>
  <si>
    <t>vacaciones</t>
  </si>
  <si>
    <t>ptos adic</t>
  </si>
  <si>
    <t xml:space="preserve">ACTIVIDAD ACADEMICA </t>
  </si>
  <si>
    <t>Suma Adicionales</t>
  </si>
  <si>
    <t>Asistencia * Valor de punto del mes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</si>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</sst>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F400]h:mm:ss\ AM/PM"/>
    <numFmt numFmtId="165" formatCode="h:mm:ss;@"/>
    <numFmt numFmtId="166" formatCode="d"/>
    <numFmt numFmtId="167" formatCode="0.0"/>
    <numFmt numFmtId="168" formatCode="&quot;S/&quot;\ #,##0.00"/>
    <numFmt numFmtId="169" formatCode="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b/>
      <sz val="10.5"/>
      <color theme="1"/>
      <name val="Calibri"/>
      <family val="2"/>
    </font>
    <font>
      <b/>
      <sz val="10.5"/>
      <color theme="0"/>
      <name val="Calibri"/>
      <family val="2"/>
    </font>
    <font>
      <b/>
      <sz val="11"/>
      <color theme="1"/>
      <name val="Calibri"/>
      <family val="2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-0.249977111117893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theme="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theme="0" tint="-0.14999847407452621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66" fontId="3" fillId="6" borderId="5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2" fillId="7" borderId="7" xfId="0" applyFont="1" applyFill="1" applyBorder="1"/>
    <xf numFmtId="0" fontId="2" fillId="7" borderId="8" xfId="0" applyFont="1" applyFill="1" applyBorder="1"/>
    <xf numFmtId="20" fontId="2" fillId="0" borderId="0" xfId="0" applyNumberFormat="1" applyFont="1"/>
    <xf numFmtId="20" fontId="2" fillId="0" borderId="0" xfId="0" applyNumberFormat="1" applyFont="1" applyAlignment="1">
      <alignment horizontal="center" vertical="center"/>
    </xf>
    <xf numFmtId="0" fontId="2" fillId="0" borderId="8" xfId="0" applyFont="1" applyBorder="1"/>
    <xf numFmtId="2" fontId="5" fillId="3" borderId="0" xfId="0" applyNumberFormat="1" applyFont="1" applyFill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5" fillId="7" borderId="0" xfId="0" applyNumberFormat="1" applyFont="1" applyFill="1" applyAlignment="1">
      <alignment horizontal="center" vertical="center"/>
    </xf>
    <xf numFmtId="0" fontId="3" fillId="5" borderId="11" xfId="0" applyFont="1" applyFill="1" applyBorder="1" applyAlignment="1">
      <alignment horizontal="center" vertical="top" wrapText="1"/>
    </xf>
    <xf numFmtId="2" fontId="3" fillId="5" borderId="11" xfId="0" applyNumberFormat="1" applyFont="1" applyFill="1" applyBorder="1" applyAlignment="1">
      <alignment horizontal="center" vertical="top" wrapText="1"/>
    </xf>
    <xf numFmtId="0" fontId="3" fillId="5" borderId="14" xfId="0" applyFont="1" applyFill="1" applyBorder="1" applyAlignment="1">
      <alignment horizontal="center" vertical="top" wrapText="1"/>
    </xf>
    <xf numFmtId="0" fontId="3" fillId="2" borderId="17" xfId="0" applyFont="1" applyFill="1" applyBorder="1" applyAlignment="1">
      <alignment horizontal="center" vertical="center" wrapText="1"/>
    </xf>
    <xf numFmtId="2" fontId="3" fillId="2" borderId="17" xfId="0" applyNumberFormat="1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top" wrapText="1"/>
    </xf>
    <xf numFmtId="0" fontId="6" fillId="9" borderId="6" xfId="0" applyFont="1" applyFill="1" applyBorder="1" applyAlignment="1">
      <alignment horizontal="center" vertical="center"/>
    </xf>
    <xf numFmtId="167" fontId="6" fillId="9" borderId="9" xfId="0" applyNumberFormat="1" applyFont="1" applyFill="1" applyBorder="1" applyAlignment="1">
      <alignment horizontal="center" vertical="center"/>
    </xf>
    <xf numFmtId="2" fontId="6" fillId="9" borderId="9" xfId="0" applyNumberFormat="1" applyFont="1" applyFill="1" applyBorder="1" applyAlignment="1">
      <alignment horizontal="center" vertical="center"/>
    </xf>
    <xf numFmtId="2" fontId="5" fillId="10" borderId="0" xfId="0" applyNumberFormat="1" applyFont="1" applyFill="1" applyAlignment="1">
      <alignment horizontal="center" vertical="center"/>
    </xf>
    <xf numFmtId="1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14" fontId="1" fillId="7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4" fontId="1" fillId="7" borderId="0" xfId="0" applyNumberFormat="1" applyFont="1" applyFill="1" applyAlignment="1">
      <alignment horizontal="center" vertical="center"/>
    </xf>
    <xf numFmtId="165" fontId="1" fillId="7" borderId="0" xfId="0" applyNumberFormat="1" applyFont="1" applyFill="1" applyAlignment="1">
      <alignment horizontal="center" vertical="center"/>
    </xf>
    <xf numFmtId="2" fontId="1" fillId="7" borderId="0" xfId="0" applyNumberFormat="1" applyFont="1" applyFill="1" applyAlignment="1">
      <alignment horizontal="center" vertical="center"/>
    </xf>
    <xf numFmtId="0" fontId="1" fillId="7" borderId="0" xfId="0" applyFont="1" applyFill="1"/>
    <xf numFmtId="0" fontId="5" fillId="7" borderId="0" xfId="0" applyFont="1" applyFill="1"/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0" fillId="0" borderId="0" xfId="0" applyNumberFormat="1"/>
    <xf numFmtId="0" fontId="7" fillId="0" borderId="6" xfId="0" applyFont="1" applyBorder="1" applyAlignment="1">
      <alignment horizontal="center" vertical="center" wrapText="1"/>
    </xf>
    <xf numFmtId="168" fontId="1" fillId="0" borderId="6" xfId="0" applyNumberFormat="1" applyFont="1" applyBorder="1" applyAlignment="1">
      <alignment horizontal="center" vertical="center"/>
    </xf>
    <xf numFmtId="168" fontId="0" fillId="0" borderId="6" xfId="0" applyNumberFormat="1" applyBorder="1" applyAlignment="1">
      <alignment horizontal="center" vertical="center"/>
    </xf>
    <xf numFmtId="49" fontId="3" fillId="4" borderId="6" xfId="0" applyNumberFormat="1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top" wrapText="1"/>
    </xf>
    <xf numFmtId="2" fontId="3" fillId="5" borderId="6" xfId="0" applyNumberFormat="1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center" wrapText="1"/>
    </xf>
    <xf numFmtId="2" fontId="3" fillId="2" borderId="6" xfId="0" applyNumberFormat="1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/>
    </xf>
    <xf numFmtId="2" fontId="5" fillId="7" borderId="6" xfId="0" applyNumberFormat="1" applyFont="1" applyFill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169" fontId="7" fillId="0" borderId="6" xfId="0" applyNumberFormat="1" applyFont="1" applyBorder="1" applyAlignment="1">
      <alignment horizontal="center" vertical="center"/>
    </xf>
    <xf numFmtId="49" fontId="3" fillId="8" borderId="10" xfId="0" applyNumberFormat="1" applyFont="1" applyFill="1" applyBorder="1" applyAlignment="1">
      <alignment horizontal="center" vertical="top" wrapText="1"/>
    </xf>
    <xf numFmtId="49" fontId="3" fillId="8" borderId="16" xfId="0" applyNumberFormat="1" applyFont="1" applyFill="1" applyBorder="1" applyAlignment="1">
      <alignment horizontal="center" vertical="top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2" fontId="3" fillId="5" borderId="12" xfId="0" applyNumberFormat="1" applyFont="1" applyFill="1" applyBorder="1" applyAlignment="1">
      <alignment horizontal="center" vertical="top" wrapText="1"/>
    </xf>
    <xf numFmtId="2" fontId="3" fillId="5" borderId="18" xfId="0" applyNumberFormat="1" applyFont="1" applyFill="1" applyBorder="1" applyAlignment="1">
      <alignment horizontal="center" vertical="top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49" fontId="3" fillId="8" borderId="6" xfId="0" applyNumberFormat="1" applyFont="1" applyFill="1" applyBorder="1" applyAlignment="1">
      <alignment horizontal="center" vertical="center" wrapText="1"/>
    </xf>
    <xf numFmtId="2" fontId="3" fillId="5" borderId="6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h:mm:ss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[$-F400]h:mm:ss\ AM/P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[$-F400]h:mm:ss\ AM/P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F8F3B17-CA50-40E0-BBF2-70394C759095}" name="Tabla3378910111213141819" displayName="Tabla3378910111213141819" ref="A2:F2510" totalsRowShown="0" headerRowDxfId="7" dataDxfId="6">
  <autoFilter ref="A2:F2510" xr:uid="{00000000-0009-0000-0100-000002000000}"/>
  <sortState xmlns:xlrd2="http://schemas.microsoft.com/office/spreadsheetml/2017/richdata2" ref="A3:F15">
    <sortCondition ref="C2:C15"/>
  </sortState>
  <tableColumns count="6">
    <tableColumn id="1" xr3:uid="{507D2F28-0DC1-4E60-8A43-BF614D6D272E}" name="Fecha" dataDxfId="5"/>
    <tableColumn id="2" xr3:uid="{B09CB06F-891D-4DB4-8D81-C6A8A45C0F44}" name="Anestesiólogo" dataDxfId="4"/>
    <tableColumn id="3" xr3:uid="{3216B035-0AF5-4EDE-81F7-A8B3C077026C}" name="Hora de Ingreso" dataDxfId="3"/>
    <tableColumn id="4" xr3:uid="{8F2D3E78-5760-41EB-8127-969BBD69E5A8}" name="Hora de Salida" dataDxfId="2"/>
    <tableColumn id="5" xr3:uid="{69A99E72-98D6-4532-9C1B-B59761B2E415}" name="Horas Trabajadas" dataDxfId="1">
      <calculatedColumnFormula>D3-C3</calculatedColumnFormula>
    </tableColumn>
    <tableColumn id="6" xr3:uid="{AE978E1C-2D6E-4FBA-9F08-03699F777E82}" name="Puntos" dataDxfId="0">
      <calculatedColumnFormula>ROUND(VALUE(E3)*4,2)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54E70-09CD-453B-8083-824561875722}">
  <dimension ref="A1:R11"/>
  <sheetViews>
    <sheetView workbookViewId="0">
      <selection activeCell="F17" sqref="F17"/>
    </sheetView>
  </sheetViews>
  <sheetFormatPr baseColWidth="10" defaultRowHeight="14.4" x14ac:dyDescent="0.3"/>
  <cols>
    <col min="1" max="1" width="13.77734375" customWidth="1"/>
    <col min="2" max="2" width="9.44140625" customWidth="1"/>
    <col min="5" max="5" width="13.88671875" bestFit="1" customWidth="1"/>
    <col min="6" max="6" width="13.88671875" customWidth="1"/>
    <col min="10" max="10" width="3.109375" customWidth="1"/>
    <col min="14" max="14" width="19.44140625" customWidth="1"/>
  </cols>
  <sheetData>
    <row r="1" spans="1:18" ht="18.600000000000001" customHeight="1" x14ac:dyDescent="0.3">
      <c r="A1" s="54" t="s">
        <v>16</v>
      </c>
      <c r="B1" s="71" t="s">
        <v>16</v>
      </c>
      <c r="C1" s="55" t="s">
        <v>17</v>
      </c>
      <c r="D1" s="56" t="s">
        <v>18</v>
      </c>
      <c r="E1" s="56" t="s">
        <v>19</v>
      </c>
      <c r="F1" s="56" t="s">
        <v>61</v>
      </c>
      <c r="G1" s="56" t="s">
        <v>20</v>
      </c>
      <c r="H1" s="72" t="s">
        <v>68</v>
      </c>
      <c r="I1" s="72" t="s">
        <v>22</v>
      </c>
      <c r="J1" s="3"/>
      <c r="K1" s="3"/>
      <c r="L1" s="3"/>
      <c r="M1" s="3"/>
      <c r="N1" s="3"/>
    </row>
    <row r="2" spans="1:18" ht="18.600000000000001" customHeight="1" x14ac:dyDescent="0.3">
      <c r="A2" s="54" t="s">
        <v>65</v>
      </c>
      <c r="B2" s="71"/>
      <c r="C2" s="57">
        <v>0.1</v>
      </c>
      <c r="D2" s="58">
        <v>0.1</v>
      </c>
      <c r="E2" s="58" t="s">
        <v>59</v>
      </c>
      <c r="F2" s="58">
        <v>0.05</v>
      </c>
      <c r="G2" s="58" t="s">
        <v>59</v>
      </c>
      <c r="H2" s="72"/>
      <c r="I2" s="72"/>
      <c r="J2" s="9"/>
    </row>
    <row r="3" spans="1:18" s="48" customFormat="1" ht="28.2" customHeight="1" x14ac:dyDescent="0.3">
      <c r="A3" s="59" t="s">
        <v>6</v>
      </c>
      <c r="B3" s="60">
        <v>23.16</v>
      </c>
      <c r="C3" s="61">
        <f>B3*0.1</f>
        <v>2.3160000000000003</v>
      </c>
      <c r="D3" s="61">
        <f>B3*$D$2</f>
        <v>2.3160000000000003</v>
      </c>
      <c r="E3" s="61">
        <v>0</v>
      </c>
      <c r="F3" s="61">
        <f>F2*B3</f>
        <v>1.1580000000000001</v>
      </c>
      <c r="G3" s="61">
        <f>B3*$G$2</f>
        <v>1.1580000000000001</v>
      </c>
      <c r="H3" s="61">
        <v>0</v>
      </c>
      <c r="I3" s="61">
        <v>0</v>
      </c>
      <c r="J3" s="6"/>
      <c r="R3" s="49"/>
    </row>
    <row r="5" spans="1:18" ht="43.2" x14ac:dyDescent="0.3">
      <c r="C5" s="51" t="s">
        <v>69</v>
      </c>
      <c r="D5" s="51" t="s">
        <v>67</v>
      </c>
      <c r="E5" s="51" t="s">
        <v>66</v>
      </c>
      <c r="F5" s="51" t="s">
        <v>70</v>
      </c>
      <c r="G5" s="51" t="s">
        <v>71</v>
      </c>
      <c r="Q5" s="50"/>
    </row>
    <row r="6" spans="1:18" ht="30.6" customHeight="1" x14ac:dyDescent="0.3">
      <c r="C6" s="62">
        <f>SUM(C3:H3)</f>
        <v>6.9480000000000013</v>
      </c>
      <c r="D6" s="52">
        <f>C6*500</f>
        <v>3474.0000000000005</v>
      </c>
      <c r="E6" s="52">
        <f>I3*600</f>
        <v>0</v>
      </c>
      <c r="F6" s="52">
        <v>15549.6</v>
      </c>
      <c r="G6" s="53">
        <f>D6+E6+F6</f>
        <v>19023.600000000002</v>
      </c>
      <c r="L6" s="50"/>
    </row>
    <row r="8" spans="1:18" x14ac:dyDescent="0.3">
      <c r="F8" s="50">
        <v>680</v>
      </c>
      <c r="H8" s="50"/>
    </row>
    <row r="11" spans="1:18" x14ac:dyDescent="0.3">
      <c r="C11">
        <v>38.79</v>
      </c>
      <c r="D11" s="50">
        <f>C11*F8</f>
        <v>26377.200000000001</v>
      </c>
    </row>
  </sheetData>
  <mergeCells count="3">
    <mergeCell ref="B1:B2"/>
    <mergeCell ref="H1:H2"/>
    <mergeCell ref="I1:I2"/>
  </mergeCells>
  <pageMargins left="0.7" right="0.7" top="0.75" bottom="0.75" header="0.3" footer="0.3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42"/>
  <sheetViews>
    <sheetView topLeftCell="A16" workbookViewId="0">
      <selection activeCell="G25" sqref="G25"/>
    </sheetView>
  </sheetViews>
  <sheetFormatPr baseColWidth="10" defaultRowHeight="14.4" x14ac:dyDescent="0.3"/>
  <cols>
    <col min="2" max="2" width="23.6640625" customWidth="1"/>
  </cols>
  <sheetData>
    <row r="2" spans="2:2" x14ac:dyDescent="0.3">
      <c r="B2" s="3" t="s">
        <v>8</v>
      </c>
    </row>
    <row r="3" spans="2:2" x14ac:dyDescent="0.3">
      <c r="B3" s="3" t="s">
        <v>23</v>
      </c>
    </row>
    <row r="4" spans="2:2" x14ac:dyDescent="0.3">
      <c r="B4" s="3" t="s">
        <v>24</v>
      </c>
    </row>
    <row r="5" spans="2:2" x14ac:dyDescent="0.3">
      <c r="B5" s="3" t="s">
        <v>25</v>
      </c>
    </row>
    <row r="6" spans="2:2" x14ac:dyDescent="0.3">
      <c r="B6" s="3" t="s">
        <v>26</v>
      </c>
    </row>
    <row r="7" spans="2:2" x14ac:dyDescent="0.3">
      <c r="B7" s="3" t="s">
        <v>6</v>
      </c>
    </row>
    <row r="8" spans="2:2" x14ac:dyDescent="0.3">
      <c r="B8" s="3" t="s">
        <v>27</v>
      </c>
    </row>
    <row r="9" spans="2:2" x14ac:dyDescent="0.3">
      <c r="B9" s="3" t="s">
        <v>28</v>
      </c>
    </row>
    <row r="10" spans="2:2" x14ac:dyDescent="0.3">
      <c r="B10" s="3" t="s">
        <v>29</v>
      </c>
    </row>
    <row r="11" spans="2:2" x14ac:dyDescent="0.3">
      <c r="B11" s="3" t="s">
        <v>30</v>
      </c>
    </row>
    <row r="12" spans="2:2" x14ac:dyDescent="0.3">
      <c r="B12" s="3" t="s">
        <v>31</v>
      </c>
    </row>
    <row r="13" spans="2:2" x14ac:dyDescent="0.3">
      <c r="B13" s="3" t="s">
        <v>32</v>
      </c>
    </row>
    <row r="14" spans="2:2" x14ac:dyDescent="0.3">
      <c r="B14" s="3" t="s">
        <v>33</v>
      </c>
    </row>
    <row r="15" spans="2:2" x14ac:dyDescent="0.3">
      <c r="B15" s="3" t="s">
        <v>34</v>
      </c>
    </row>
    <row r="16" spans="2:2" x14ac:dyDescent="0.3">
      <c r="B16" s="3" t="s">
        <v>35</v>
      </c>
    </row>
    <row r="17" spans="2:2" x14ac:dyDescent="0.3">
      <c r="B17" s="3" t="s">
        <v>36</v>
      </c>
    </row>
    <row r="18" spans="2:2" x14ac:dyDescent="0.3">
      <c r="B18" s="3" t="s">
        <v>37</v>
      </c>
    </row>
    <row r="19" spans="2:2" x14ac:dyDescent="0.3">
      <c r="B19" s="3" t="s">
        <v>38</v>
      </c>
    </row>
    <row r="20" spans="2:2" x14ac:dyDescent="0.3">
      <c r="B20" s="3" t="s">
        <v>4</v>
      </c>
    </row>
    <row r="21" spans="2:2" x14ac:dyDescent="0.3">
      <c r="B21" s="3" t="s">
        <v>39</v>
      </c>
    </row>
    <row r="22" spans="2:2" x14ac:dyDescent="0.3">
      <c r="B22" s="3" t="s">
        <v>40</v>
      </c>
    </row>
    <row r="23" spans="2:2" x14ac:dyDescent="0.3">
      <c r="B23" s="3" t="s">
        <v>41</v>
      </c>
    </row>
    <row r="24" spans="2:2" x14ac:dyDescent="0.3">
      <c r="B24" s="3" t="s">
        <v>42</v>
      </c>
    </row>
    <row r="25" spans="2:2" x14ac:dyDescent="0.3">
      <c r="B25" s="3" t="s">
        <v>43</v>
      </c>
    </row>
    <row r="26" spans="2:2" x14ac:dyDescent="0.3">
      <c r="B26" s="3" t="s">
        <v>44</v>
      </c>
    </row>
    <row r="27" spans="2:2" x14ac:dyDescent="0.3">
      <c r="B27" s="3" t="s">
        <v>45</v>
      </c>
    </row>
    <row r="28" spans="2:2" x14ac:dyDescent="0.3">
      <c r="B28" s="3" t="s">
        <v>5</v>
      </c>
    </row>
    <row r="29" spans="2:2" x14ac:dyDescent="0.3">
      <c r="B29" s="3" t="s">
        <v>46</v>
      </c>
    </row>
    <row r="30" spans="2:2" x14ac:dyDescent="0.3">
      <c r="B30" s="3" t="s">
        <v>47</v>
      </c>
    </row>
    <row r="31" spans="2:2" x14ac:dyDescent="0.3">
      <c r="B31" s="3" t="s">
        <v>7</v>
      </c>
    </row>
    <row r="32" spans="2:2" x14ac:dyDescent="0.3">
      <c r="B32" s="3" t="s">
        <v>48</v>
      </c>
    </row>
    <row r="33" spans="2:2" x14ac:dyDescent="0.3">
      <c r="B33" s="3" t="s">
        <v>49</v>
      </c>
    </row>
    <row r="34" spans="2:2" x14ac:dyDescent="0.3">
      <c r="B34" s="3" t="s">
        <v>50</v>
      </c>
    </row>
    <row r="35" spans="2:2" x14ac:dyDescent="0.3">
      <c r="B35" s="3" t="s">
        <v>51</v>
      </c>
    </row>
    <row r="36" spans="2:2" x14ac:dyDescent="0.3">
      <c r="B36" s="3" t="s">
        <v>52</v>
      </c>
    </row>
    <row r="37" spans="2:2" x14ac:dyDescent="0.3">
      <c r="B37" s="3" t="s">
        <v>53</v>
      </c>
    </row>
    <row r="38" spans="2:2" x14ac:dyDescent="0.3">
      <c r="B38" s="3" t="s">
        <v>54</v>
      </c>
    </row>
    <row r="39" spans="2:2" x14ac:dyDescent="0.3">
      <c r="B39" s="3" t="s">
        <v>55</v>
      </c>
    </row>
    <row r="40" spans="2:2" x14ac:dyDescent="0.3">
      <c r="B40" s="3" t="s">
        <v>56</v>
      </c>
    </row>
    <row r="41" spans="2:2" x14ac:dyDescent="0.3">
      <c r="B41" s="3" t="s">
        <v>63</v>
      </c>
    </row>
    <row r="42" spans="2:2" x14ac:dyDescent="0.3">
      <c r="B42" s="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A513-BB24-4479-9647-F05FE2ACEB61}">
  <dimension ref="A1:AX2510"/>
  <sheetViews>
    <sheetView tabSelected="1" zoomScaleNormal="100" workbookViewId="0">
      <selection activeCell="F12" sqref="F12"/>
    </sheetView>
  </sheetViews>
  <sheetFormatPr baseColWidth="10" defaultColWidth="11.44140625" defaultRowHeight="14.4" x14ac:dyDescent="0.3"/>
  <cols>
    <col min="1" max="1" width="11.44140625" style="3" customWidth="1"/>
    <col min="2" max="2" width="19.6640625" style="3" customWidth="1"/>
    <col min="3" max="7" width="11.44140625" style="3"/>
    <col min="8" max="8" width="20" style="10" customWidth="1"/>
    <col min="9" max="29" width="5.109375" style="11" customWidth="1"/>
    <col min="30" max="30" width="5.21875" style="11" customWidth="1"/>
    <col min="31" max="39" width="5.109375" style="11" customWidth="1"/>
    <col min="40" max="42" width="7.6640625" style="18" customWidth="1"/>
    <col min="43" max="43" width="7.6640625" style="12" customWidth="1"/>
    <col min="44" max="44" width="12" style="12" bestFit="1" customWidth="1"/>
    <col min="45" max="45" width="11" style="12" bestFit="1" customWidth="1"/>
    <col min="46" max="49" width="7.6640625" style="12" customWidth="1"/>
    <col min="50" max="50" width="9.44140625" style="12" customWidth="1"/>
    <col min="51" max="16384" width="11.44140625" style="3"/>
  </cols>
  <sheetData>
    <row r="1" spans="1:50" ht="13.5" customHeight="1" x14ac:dyDescent="0.3">
      <c r="H1" s="16" t="s">
        <v>16</v>
      </c>
      <c r="I1" s="13" t="s">
        <v>12</v>
      </c>
      <c r="J1" s="13" t="s">
        <v>13</v>
      </c>
      <c r="K1" s="13" t="s">
        <v>14</v>
      </c>
      <c r="L1" s="13" t="s">
        <v>15</v>
      </c>
      <c r="M1" s="13" t="s">
        <v>9</v>
      </c>
      <c r="N1" s="13" t="s">
        <v>10</v>
      </c>
      <c r="O1" s="13" t="s">
        <v>11</v>
      </c>
      <c r="P1" s="13" t="s">
        <v>12</v>
      </c>
      <c r="Q1" s="13" t="s">
        <v>13</v>
      </c>
      <c r="R1" s="13" t="s">
        <v>14</v>
      </c>
      <c r="S1" s="13" t="s">
        <v>15</v>
      </c>
      <c r="T1" s="13" t="s">
        <v>9</v>
      </c>
      <c r="U1" s="14" t="s">
        <v>10</v>
      </c>
      <c r="V1" s="13" t="s">
        <v>11</v>
      </c>
      <c r="W1" s="13" t="s">
        <v>12</v>
      </c>
      <c r="X1" s="13" t="s">
        <v>13</v>
      </c>
      <c r="Y1" s="13" t="s">
        <v>14</v>
      </c>
      <c r="Z1" s="13" t="s">
        <v>15</v>
      </c>
      <c r="AA1" s="13" t="s">
        <v>9</v>
      </c>
      <c r="AB1" s="14" t="s">
        <v>10</v>
      </c>
      <c r="AC1" s="13" t="s">
        <v>11</v>
      </c>
      <c r="AD1" s="14" t="s">
        <v>12</v>
      </c>
      <c r="AE1" s="13" t="s">
        <v>13</v>
      </c>
      <c r="AF1" s="13" t="s">
        <v>14</v>
      </c>
      <c r="AG1" s="13" t="s">
        <v>15</v>
      </c>
      <c r="AH1" s="13" t="s">
        <v>9</v>
      </c>
      <c r="AI1" s="14" t="s">
        <v>10</v>
      </c>
      <c r="AJ1" s="13" t="s">
        <v>11</v>
      </c>
      <c r="AK1" s="14" t="s">
        <v>12</v>
      </c>
      <c r="AL1" s="13" t="s">
        <v>13</v>
      </c>
      <c r="AM1" s="13" t="s">
        <v>14</v>
      </c>
      <c r="AN1" s="63" t="s">
        <v>16</v>
      </c>
      <c r="AO1" s="30" t="s">
        <v>60</v>
      </c>
      <c r="AP1" s="65" t="s">
        <v>60</v>
      </c>
      <c r="AQ1" s="28" t="s">
        <v>17</v>
      </c>
      <c r="AR1" s="29" t="s">
        <v>18</v>
      </c>
      <c r="AS1" s="29" t="s">
        <v>19</v>
      </c>
      <c r="AT1" s="29" t="s">
        <v>61</v>
      </c>
      <c r="AU1" s="29" t="s">
        <v>20</v>
      </c>
      <c r="AV1" s="67" t="s">
        <v>21</v>
      </c>
      <c r="AW1" s="67" t="s">
        <v>22</v>
      </c>
      <c r="AX1" s="69" t="s">
        <v>60</v>
      </c>
    </row>
    <row r="2" spans="1:50" s="9" customFormat="1" ht="15" customHeight="1" thickBot="1" x14ac:dyDescent="0.35">
      <c r="A2" s="7" t="s">
        <v>0</v>
      </c>
      <c r="B2" s="7" t="s">
        <v>1</v>
      </c>
      <c r="C2" s="8" t="s">
        <v>2</v>
      </c>
      <c r="D2" s="8" t="s">
        <v>3</v>
      </c>
      <c r="E2" s="7" t="s">
        <v>57</v>
      </c>
      <c r="F2" s="7" t="s">
        <v>58</v>
      </c>
      <c r="H2" s="17" t="s">
        <v>65</v>
      </c>
      <c r="I2" s="15">
        <v>46023</v>
      </c>
      <c r="J2" s="15">
        <v>46024</v>
      </c>
      <c r="K2" s="15">
        <v>46025</v>
      </c>
      <c r="L2" s="15">
        <v>46026</v>
      </c>
      <c r="M2" s="15">
        <v>46027</v>
      </c>
      <c r="N2" s="15">
        <v>46028</v>
      </c>
      <c r="O2" s="15">
        <v>46029</v>
      </c>
      <c r="P2" s="15">
        <v>46030</v>
      </c>
      <c r="Q2" s="15">
        <v>46031</v>
      </c>
      <c r="R2" s="15">
        <v>46032</v>
      </c>
      <c r="S2" s="15">
        <v>46033</v>
      </c>
      <c r="T2" s="15">
        <v>46034</v>
      </c>
      <c r="U2" s="15">
        <v>46035</v>
      </c>
      <c r="V2" s="15">
        <v>46036</v>
      </c>
      <c r="W2" s="15">
        <v>46037</v>
      </c>
      <c r="X2" s="15">
        <v>46038</v>
      </c>
      <c r="Y2" s="15">
        <v>46039</v>
      </c>
      <c r="Z2" s="15">
        <v>46040</v>
      </c>
      <c r="AA2" s="15">
        <v>46041</v>
      </c>
      <c r="AB2" s="15">
        <v>46042</v>
      </c>
      <c r="AC2" s="15">
        <v>46043</v>
      </c>
      <c r="AD2" s="15">
        <v>46044</v>
      </c>
      <c r="AE2" s="15">
        <v>46045</v>
      </c>
      <c r="AF2" s="15">
        <v>46046</v>
      </c>
      <c r="AG2" s="15">
        <v>46047</v>
      </c>
      <c r="AH2" s="15">
        <v>46048</v>
      </c>
      <c r="AI2" s="15">
        <v>46049</v>
      </c>
      <c r="AJ2" s="15">
        <v>46050</v>
      </c>
      <c r="AK2" s="15">
        <v>46051</v>
      </c>
      <c r="AL2" s="15">
        <v>46052</v>
      </c>
      <c r="AM2" s="15">
        <v>46053</v>
      </c>
      <c r="AN2" s="64"/>
      <c r="AO2" s="33" t="s">
        <v>62</v>
      </c>
      <c r="AP2" s="66"/>
      <c r="AQ2" s="31">
        <v>0.1</v>
      </c>
      <c r="AR2" s="32">
        <v>0.1</v>
      </c>
      <c r="AS2" s="32" t="s">
        <v>59</v>
      </c>
      <c r="AT2" s="32">
        <v>0.05</v>
      </c>
      <c r="AU2" s="32" t="s">
        <v>59</v>
      </c>
      <c r="AV2" s="68"/>
      <c r="AW2" s="68"/>
      <c r="AX2" s="70"/>
    </row>
    <row r="3" spans="1:50" x14ac:dyDescent="0.3">
      <c r="A3" s="4">
        <v>46023</v>
      </c>
      <c r="B3" s="1" t="s">
        <v>45</v>
      </c>
      <c r="C3" s="2">
        <v>0.3</v>
      </c>
      <c r="D3" s="2">
        <v>0.79166666666666663</v>
      </c>
      <c r="E3" s="5">
        <f t="shared" ref="E3:E66" si="0">D3-C3</f>
        <v>0.49166666666666664</v>
      </c>
      <c r="F3" s="6">
        <f>ROUND(VALUE(E3)*4,2)*2</f>
        <v>3.94</v>
      </c>
      <c r="H3" s="20" t="s">
        <v>8</v>
      </c>
      <c r="I3" s="19" cm="1">
        <f t="array" ref="I3">ROUND(SUMIFS(PUNTO,STAFF,$H3,FECHA,I$2),2)</f>
        <v>0</v>
      </c>
      <c r="J3" s="19" cm="1">
        <f t="array" ref="J3">ROUND(SUMIFS(PUNTO,STAFF,$H3,FECHA,J$2),2)</f>
        <v>0</v>
      </c>
      <c r="K3" s="19" cm="1">
        <f t="array" ref="K3">ROUND(SUMIFS(PUNTO,STAFF,$H3,FECHA,K$2),2)</f>
        <v>2.06</v>
      </c>
      <c r="L3" s="19" cm="1">
        <f t="array" ref="L3">ROUND(SUMIFS(PUNTO,STAFF,$H3,FECHA,L$2),2)</f>
        <v>0</v>
      </c>
      <c r="M3" s="19" cm="1">
        <f t="array" ref="M3">ROUND(SUMIFS(PUNTO,STAFF,$H3,FECHA,M$2),2)</f>
        <v>2.2599999999999998</v>
      </c>
      <c r="N3" s="19" cm="1">
        <f t="array" ref="N3">ROUND(SUMIFS(PUNTO,STAFF,$H3,FECHA,N$2),2)</f>
        <v>2.16</v>
      </c>
      <c r="O3" s="19" cm="1">
        <f t="array" ref="O3">ROUND(SUMIFS(PUNTO,STAFF,$H3,FECHA,O$2),2)</f>
        <v>1.22</v>
      </c>
      <c r="P3" s="19" cm="1">
        <f t="array" ref="P3">ROUND(SUMIFS(PUNTO,STAFF,$H3,FECHA,P$2),2)</f>
        <v>2.4500000000000002</v>
      </c>
      <c r="Q3" s="19" cm="1">
        <f t="array" ref="Q3">ROUND(SUMIFS(PUNTO,STAFF,$H3,FECHA,Q$2),2)</f>
        <v>0</v>
      </c>
      <c r="R3" s="19" cm="1">
        <f t="array" ref="R3">ROUND(SUMIFS(PUNTO,STAFF,$H3,FECHA,R$2),2)</f>
        <v>2</v>
      </c>
      <c r="S3" s="19" cm="1">
        <f t="array" ref="S3">ROUND(SUMIFS(PUNTO,STAFF,$H3,FECHA,S$2),2)</f>
        <v>0</v>
      </c>
      <c r="T3" s="19" cm="1">
        <f t="array" ref="T3">ROUND(SUMIFS(PUNTO,STAFF,$H3,FECHA,T$2),2)</f>
        <v>2.0299999999999998</v>
      </c>
      <c r="U3" s="19" cm="1">
        <f t="array" ref="U3">ROUND(SUMIFS(PUNTO,STAFF,$H3,FECHA,U$2),2)</f>
        <v>1.98</v>
      </c>
      <c r="V3" s="19" cm="1">
        <f t="array" ref="V3">ROUND(SUMIFS(PUNTO,STAFF,$H3,FECHA,V$2),2)</f>
        <v>2.12</v>
      </c>
      <c r="W3" s="19" cm="1">
        <f t="array" ref="W3">ROUND(SUMIFS(PUNTO,STAFF,$H3,FECHA,W$2),2)</f>
        <v>1.92</v>
      </c>
      <c r="X3" s="19" cm="1">
        <f t="array" ref="X3">ROUND(SUMIFS(PUNTO,STAFF,$H3,FECHA,X$2),2)</f>
        <v>0</v>
      </c>
      <c r="Y3" s="19" cm="1">
        <f t="array" ref="Y3">ROUND(SUMIFS(PUNTO,STAFF,$H3,FECHA,Y$2),2)</f>
        <v>1.89</v>
      </c>
      <c r="Z3" s="19" cm="1">
        <f t="array" ref="Z3">ROUND(SUMIFS(PUNTO,STAFF,$H3,FECHA,Z$2),2)</f>
        <v>0</v>
      </c>
      <c r="AA3" s="19" cm="1">
        <f t="array" ref="AA3">ROUND(SUMIFS(PUNTO,STAFF,$H3,FECHA,AA$2),2)</f>
        <v>0</v>
      </c>
      <c r="AB3" s="19" cm="1">
        <f t="array" ref="AB3">ROUND(SUMIFS(PUNTO,STAFF,$H3,FECHA,AB$2),2)</f>
        <v>1.77</v>
      </c>
      <c r="AC3" s="19" cm="1">
        <f t="array" ref="AC3">ROUND(SUMIFS(PUNTO,STAFF,$H3,FECHA,AC$2),2)</f>
        <v>1.94</v>
      </c>
      <c r="AD3" s="19" cm="1">
        <f t="array" ref="AD3">ROUND(SUMIFS(PUNTO,STAFF,$H3,FECHA,AD$2),2)</f>
        <v>2.2400000000000002</v>
      </c>
      <c r="AE3" s="19" cm="1">
        <f t="array" ref="AE3">ROUND(SUMIFS(PUNTO,STAFF,$H3,FECHA,AE$2),2)</f>
        <v>0</v>
      </c>
      <c r="AF3" s="19" cm="1">
        <f t="array" ref="AF3">ROUND(SUMIFS(PUNTO,STAFF,$H3,FECHA,AF$2),2)</f>
        <v>0.9</v>
      </c>
      <c r="AG3" s="19" cm="1">
        <f t="array" ref="AG3">ROUND(SUMIFS(PUNTO,STAFF,$H3,FECHA,AG$2),2)</f>
        <v>2.0299999999999998</v>
      </c>
      <c r="AH3" s="19" cm="1">
        <f t="array" ref="AH3">ROUND(SUMIFS(PUNTO,STAFF,$H3,FECHA,AH$2),2)</f>
        <v>1.53</v>
      </c>
      <c r="AI3" s="19" cm="1">
        <f t="array" ref="AI3">ROUND(SUMIFS(PUNTO,STAFF,$H3,FECHA,AI$2),2)</f>
        <v>1.94</v>
      </c>
      <c r="AJ3" s="19" cm="1">
        <f t="array" ref="AJ3">ROUND(SUMIFS(PUNTO,STAFF,$H3,FECHA,AJ$2),2)</f>
        <v>2.23</v>
      </c>
      <c r="AK3" s="19" cm="1">
        <f t="array" ref="AK3">ROUND(SUMIFS(PUNTO,STAFF,$H3,FECHA,AK$2),2)</f>
        <v>1.5</v>
      </c>
      <c r="AL3" s="19" cm="1">
        <f t="array" ref="AL3">ROUND(SUMIFS(PUNTO,STAFF,$H3,FECHA,AL$2),2)</f>
        <v>0</v>
      </c>
      <c r="AM3" s="19" cm="1">
        <f t="array" ref="AM3">ROUND(SUMIFS(PUNTO,STAFF,$H3,FECHA,AM$2),2)</f>
        <v>1.96</v>
      </c>
      <c r="AN3" s="25">
        <f>SUM(I3:AM3)</f>
        <v>40.130000000000003</v>
      </c>
      <c r="AO3" s="25"/>
      <c r="AP3" s="27">
        <f>AN3+AO3</f>
        <v>40.130000000000003</v>
      </c>
      <c r="AQ3" s="25">
        <f>AP3*$AQ$2</f>
        <v>4.0130000000000008</v>
      </c>
      <c r="AR3" s="25"/>
      <c r="AS3" s="25">
        <v>0.5</v>
      </c>
      <c r="AT3" s="25"/>
      <c r="AU3" s="25"/>
      <c r="AV3" s="25"/>
      <c r="AW3" s="25"/>
      <c r="AX3" s="25">
        <f>SUM(AP3:AW3)</f>
        <v>44.643000000000001</v>
      </c>
    </row>
    <row r="4" spans="1:50" x14ac:dyDescent="0.3">
      <c r="A4" s="4">
        <v>46023</v>
      </c>
      <c r="B4" s="1" t="s">
        <v>7</v>
      </c>
      <c r="C4" s="2">
        <v>0.31597222222222221</v>
      </c>
      <c r="D4" s="2">
        <v>0.79166666666666663</v>
      </c>
      <c r="E4" s="5">
        <f t="shared" si="0"/>
        <v>0.47569444444444442</v>
      </c>
      <c r="F4" s="6">
        <f>ROUND(VALUE(E4)*4,2)*2</f>
        <v>3.8</v>
      </c>
      <c r="H4" s="24" t="s">
        <v>23</v>
      </c>
      <c r="I4" s="11" cm="1">
        <f t="array" ref="I4">ROUND(SUMIFS(PUNTO,STAFF,$H4,FECHA,I$2),2)</f>
        <v>0</v>
      </c>
      <c r="J4" s="11" cm="1">
        <f t="array" ref="J4">ROUND(SUMIFS(PUNTO,STAFF,$H4,FECHA,J$2),2)</f>
        <v>1.86</v>
      </c>
      <c r="K4" s="11" cm="1">
        <f t="array" ref="K4">ROUND(SUMIFS(PUNTO,STAFF,$H4,FECHA,K$2),2)</f>
        <v>0</v>
      </c>
      <c r="L4" s="11" cm="1">
        <f t="array" ref="L4">ROUND(SUMIFS(PUNTO,STAFF,$H4,FECHA,L$2),2)</f>
        <v>0</v>
      </c>
      <c r="M4" s="11" cm="1">
        <f t="array" ref="M4">ROUND(SUMIFS(PUNTO,STAFF,$H4,FECHA,M$2),2)</f>
        <v>2.04</v>
      </c>
      <c r="N4" s="11" cm="1">
        <f t="array" ref="N4">ROUND(SUMIFS(PUNTO,STAFF,$H4,FECHA,N$2),2)</f>
        <v>1.84</v>
      </c>
      <c r="O4" s="11" cm="1">
        <f t="array" ref="O4">ROUND(SUMIFS(PUNTO,STAFF,$H4,FECHA,O$2),2)</f>
        <v>2.0499999999999998</v>
      </c>
      <c r="P4" s="11" cm="1">
        <f t="array" ref="P4">ROUND(SUMIFS(PUNTO,STAFF,$H4,FECHA,P$2),2)</f>
        <v>0</v>
      </c>
      <c r="Q4" s="11" cm="1">
        <f t="array" ref="Q4">ROUND(SUMIFS(PUNTO,STAFF,$H4,FECHA,Q$2),2)</f>
        <v>1.76</v>
      </c>
      <c r="R4" s="11" cm="1">
        <f t="array" ref="R4">ROUND(SUMIFS(PUNTO,STAFF,$H4,FECHA,R$2),2)</f>
        <v>0</v>
      </c>
      <c r="S4" s="11" cm="1">
        <f t="array" ref="S4">ROUND(SUMIFS(PUNTO,STAFF,$H4,FECHA,S$2),2)</f>
        <v>0</v>
      </c>
      <c r="T4" s="11" cm="1">
        <f t="array" ref="T4">ROUND(SUMIFS(PUNTO,STAFF,$H4,FECHA,T$2),2)</f>
        <v>1.79</v>
      </c>
      <c r="U4" s="11" cm="1">
        <f t="array" ref="U4">ROUND(SUMIFS(PUNTO,STAFF,$H4,FECHA,U$2),2)</f>
        <v>1.86</v>
      </c>
      <c r="V4" s="11" cm="1">
        <f t="array" ref="V4">ROUND(SUMIFS(PUNTO,STAFF,$H4,FECHA,V$2),2)</f>
        <v>1.76</v>
      </c>
      <c r="W4" s="11" cm="1">
        <f t="array" ref="W4">ROUND(SUMIFS(PUNTO,STAFF,$H4,FECHA,W$2),2)</f>
        <v>0</v>
      </c>
      <c r="X4" s="11" cm="1">
        <f t="array" ref="X4">ROUND(SUMIFS(PUNTO,STAFF,$H4,FECHA,X$2),2)</f>
        <v>2.0099999999999998</v>
      </c>
      <c r="Y4" s="11" cm="1">
        <f t="array" ref="Y4">ROUND(SUMIFS(PUNTO,STAFF,$H4,FECHA,Y$2),2)</f>
        <v>0</v>
      </c>
      <c r="Z4" s="11" cm="1">
        <f t="array" ref="Z4">ROUND(SUMIFS(PUNTO,STAFF,$H4,FECHA,Z$2),2)</f>
        <v>0</v>
      </c>
      <c r="AA4" s="11" cm="1">
        <f t="array" ref="AA4">ROUND(SUMIFS(PUNTO,STAFF,$H4,FECHA,AA$2),2)</f>
        <v>1.89</v>
      </c>
      <c r="AB4" s="11" cm="1">
        <f t="array" ref="AB4">ROUND(SUMIFS(PUNTO,STAFF,$H4,FECHA,AB$2),2)</f>
        <v>1.71</v>
      </c>
      <c r="AC4" s="11" cm="1">
        <f t="array" ref="AC4">ROUND(SUMIFS(PUNTO,STAFF,$H4,FECHA,AC$2),2)</f>
        <v>0</v>
      </c>
      <c r="AD4" s="11" cm="1">
        <f t="array" ref="AD4">ROUND(SUMIFS(PUNTO,STAFF,$H4,FECHA,AD$2),2)</f>
        <v>0</v>
      </c>
      <c r="AE4" s="11" cm="1">
        <f t="array" ref="AE4">ROUND(SUMIFS(PUNTO,STAFF,$H4,FECHA,AE$2),2)</f>
        <v>0</v>
      </c>
      <c r="AF4" s="11" cm="1">
        <f t="array" ref="AF4">ROUND(SUMIFS(PUNTO,STAFF,$H4,FECHA,AF$2),2)</f>
        <v>0</v>
      </c>
      <c r="AG4" s="11" cm="1">
        <f t="array" ref="AG4">ROUND(SUMIFS(PUNTO,STAFF,$H4,FECHA,AG$2),2)</f>
        <v>0</v>
      </c>
      <c r="AH4" s="11" cm="1">
        <f t="array" ref="AH4">ROUND(SUMIFS(PUNTO,STAFF,$H4,FECHA,AH$2),2)</f>
        <v>1.85</v>
      </c>
      <c r="AI4" s="11" cm="1">
        <f t="array" ref="AI4">ROUND(SUMIFS(PUNTO,STAFF,$H4,FECHA,AI$2),2)</f>
        <v>1.8</v>
      </c>
      <c r="AJ4" s="11" cm="1">
        <f t="array" ref="AJ4">ROUND(SUMIFS(PUNTO,STAFF,$H4,FECHA,AJ$2),2)</f>
        <v>1.62</v>
      </c>
      <c r="AK4" s="11" cm="1">
        <f t="array" ref="AK4">ROUND(SUMIFS(PUNTO,STAFF,$H4,FECHA,AK$2),2)</f>
        <v>0</v>
      </c>
      <c r="AL4" s="11" cm="1">
        <f t="array" ref="AL4">ROUND(SUMIFS(PUNTO,STAFF,$H4,FECHA,AL$2),2)</f>
        <v>1.48</v>
      </c>
      <c r="AM4" s="11" cm="1">
        <f t="array" ref="AM4">ROUND(SUMIFS(PUNTO,STAFF,$H4,FECHA,AM$2),2)</f>
        <v>0</v>
      </c>
      <c r="AN4" s="26">
        <f t="shared" ref="AN4:AN42" si="1">SUM(I4:AM4)</f>
        <v>27.320000000000004</v>
      </c>
      <c r="AO4" s="26"/>
      <c r="AP4" s="27">
        <f>AN4+AO4</f>
        <v>27.320000000000004</v>
      </c>
      <c r="AQ4" s="26">
        <f>AP4*$AQ$2</f>
        <v>2.7320000000000007</v>
      </c>
      <c r="AR4" s="26"/>
      <c r="AS4" s="26"/>
      <c r="AT4" s="26"/>
      <c r="AU4" s="26"/>
      <c r="AV4" s="26"/>
      <c r="AW4" s="26"/>
      <c r="AX4" s="25">
        <f t="shared" ref="AX4:AX42" si="2">SUM(AP4:AW4)</f>
        <v>30.052000000000003</v>
      </c>
    </row>
    <row r="5" spans="1:50" x14ac:dyDescent="0.3">
      <c r="A5" s="4">
        <v>46023</v>
      </c>
      <c r="B5" s="1" t="s">
        <v>6</v>
      </c>
      <c r="C5" s="2">
        <v>0.46180555555555558</v>
      </c>
      <c r="D5" s="2">
        <v>0.52222222222222225</v>
      </c>
      <c r="E5" s="5">
        <f t="shared" si="0"/>
        <v>6.0416666666666674E-2</v>
      </c>
      <c r="F5" s="6">
        <f>ROUND(VALUE(E5)*4,2)*2</f>
        <v>0.48</v>
      </c>
      <c r="H5" s="21" t="s">
        <v>24</v>
      </c>
      <c r="I5" s="19" cm="1">
        <f t="array" ref="I5">ROUND(SUMIFS(PUNTO,STAFF,$H5,FECHA,I$2),2)</f>
        <v>0</v>
      </c>
      <c r="J5" s="19" cm="1">
        <f t="array" ref="J5">ROUND(SUMIFS(PUNTO,STAFF,$H5,FECHA,J$2),2)</f>
        <v>0</v>
      </c>
      <c r="K5" s="19" cm="1">
        <f t="array" ref="K5">ROUND(SUMIFS(PUNTO,STAFF,$H5,FECHA,K$2),2)</f>
        <v>1.38</v>
      </c>
      <c r="L5" s="19" cm="1">
        <f t="array" ref="L5">ROUND(SUMIFS(PUNTO,STAFF,$H5,FECHA,L$2),2)</f>
        <v>0</v>
      </c>
      <c r="M5" s="19" cm="1">
        <f t="array" ref="M5">ROUND(SUMIFS(PUNTO,STAFF,$H5,FECHA,M$2),2)</f>
        <v>0</v>
      </c>
      <c r="N5" s="19" cm="1">
        <f t="array" ref="N5">ROUND(SUMIFS(PUNTO,STAFF,$H5,FECHA,N$2),2)</f>
        <v>0</v>
      </c>
      <c r="O5" s="19" cm="1">
        <f t="array" ref="O5">ROUND(SUMIFS(PUNTO,STAFF,$H5,FECHA,O$2),2)</f>
        <v>0</v>
      </c>
      <c r="P5" s="19" cm="1">
        <f t="array" ref="P5">ROUND(SUMIFS(PUNTO,STAFF,$H5,FECHA,P$2),2)</f>
        <v>2.2000000000000002</v>
      </c>
      <c r="Q5" s="19" cm="1">
        <f t="array" ref="Q5">ROUND(SUMIFS(PUNTO,STAFF,$H5,FECHA,Q$2),2)</f>
        <v>0</v>
      </c>
      <c r="R5" s="19" cm="1">
        <f t="array" ref="R5">ROUND(SUMIFS(PUNTO,STAFF,$H5,FECHA,R$2),2)</f>
        <v>0</v>
      </c>
      <c r="S5" s="19" cm="1">
        <f t="array" ref="S5">ROUND(SUMIFS(PUNTO,STAFF,$H5,FECHA,S$2),2)</f>
        <v>0</v>
      </c>
      <c r="T5" s="19" cm="1">
        <f t="array" ref="T5">ROUND(SUMIFS(PUNTO,STAFF,$H5,FECHA,T$2),2)</f>
        <v>0.46</v>
      </c>
      <c r="U5" s="19" cm="1">
        <f t="array" ref="U5">ROUND(SUMIFS(PUNTO,STAFF,$H5,FECHA,U$2),2)</f>
        <v>1.87</v>
      </c>
      <c r="V5" s="19" cm="1">
        <f t="array" ref="V5">ROUND(SUMIFS(PUNTO,STAFF,$H5,FECHA,V$2),2)</f>
        <v>0</v>
      </c>
      <c r="W5" s="19" cm="1">
        <f t="array" ref="W5">ROUND(SUMIFS(PUNTO,STAFF,$H5,FECHA,W$2),2)</f>
        <v>1.7</v>
      </c>
      <c r="X5" s="19" cm="1">
        <f t="array" ref="X5">ROUND(SUMIFS(PUNTO,STAFF,$H5,FECHA,X$2),2)</f>
        <v>0</v>
      </c>
      <c r="Y5" s="19" cm="1">
        <f t="array" ref="Y5">ROUND(SUMIFS(PUNTO,STAFF,$H5,FECHA,Y$2),2)</f>
        <v>1.46</v>
      </c>
      <c r="Z5" s="19" cm="1">
        <f t="array" ref="Z5">ROUND(SUMIFS(PUNTO,STAFF,$H5,FECHA,Z$2),2)</f>
        <v>0</v>
      </c>
      <c r="AA5" s="19" cm="1">
        <f t="array" ref="AA5">ROUND(SUMIFS(PUNTO,STAFF,$H5,FECHA,AA$2),2)</f>
        <v>2.35</v>
      </c>
      <c r="AB5" s="19" cm="1">
        <f t="array" ref="AB5">ROUND(SUMIFS(PUNTO,STAFF,$H5,FECHA,AB$2),2)</f>
        <v>0</v>
      </c>
      <c r="AC5" s="19" cm="1">
        <f t="array" ref="AC5">ROUND(SUMIFS(PUNTO,STAFF,$H5,FECHA,AC$2),2)</f>
        <v>0</v>
      </c>
      <c r="AD5" s="19" cm="1">
        <f t="array" ref="AD5">ROUND(SUMIFS(PUNTO,STAFF,$H5,FECHA,AD$2),2)</f>
        <v>1.9</v>
      </c>
      <c r="AE5" s="19" cm="1">
        <f t="array" ref="AE5">ROUND(SUMIFS(PUNTO,STAFF,$H5,FECHA,AE$2),2)</f>
        <v>0</v>
      </c>
      <c r="AF5" s="19" cm="1">
        <f t="array" ref="AF5">ROUND(SUMIFS(PUNTO,STAFF,$H5,FECHA,AF$2),2)</f>
        <v>0</v>
      </c>
      <c r="AG5" s="19" cm="1">
        <f t="array" ref="AG5">ROUND(SUMIFS(PUNTO,STAFF,$H5,FECHA,AG$2),2)</f>
        <v>0</v>
      </c>
      <c r="AH5" s="19" cm="1">
        <f t="array" ref="AH5">ROUND(SUMIFS(PUNTO,STAFF,$H5,FECHA,AH$2),2)</f>
        <v>0</v>
      </c>
      <c r="AI5" s="19" cm="1">
        <f t="array" ref="AI5">ROUND(SUMIFS(PUNTO,STAFF,$H5,FECHA,AI$2),2)</f>
        <v>0.32</v>
      </c>
      <c r="AJ5" s="19" cm="1">
        <f t="array" ref="AJ5">ROUND(SUMIFS(PUNTO,STAFF,$H5,FECHA,AJ$2),2)</f>
        <v>1.94</v>
      </c>
      <c r="AK5" s="19" cm="1">
        <f t="array" ref="AK5">ROUND(SUMIFS(PUNTO,STAFF,$H5,FECHA,AK$2),2)</f>
        <v>1.94</v>
      </c>
      <c r="AL5" s="19" cm="1">
        <f t="array" ref="AL5">ROUND(SUMIFS(PUNTO,STAFF,$H5,FECHA,AL$2),2)</f>
        <v>0.98</v>
      </c>
      <c r="AM5" s="19" cm="1">
        <f t="array" ref="AM5">ROUND(SUMIFS(PUNTO,STAFF,$H5,FECHA,AM$2),2)</f>
        <v>1.1299999999999999</v>
      </c>
      <c r="AN5" s="25">
        <f t="shared" si="1"/>
        <v>19.63</v>
      </c>
      <c r="AO5" s="25"/>
      <c r="AP5" s="27">
        <f>AN5+AO5</f>
        <v>19.63</v>
      </c>
      <c r="AQ5" s="25">
        <f>AP5*$AQ$2</f>
        <v>1.9630000000000001</v>
      </c>
      <c r="AR5" s="25"/>
      <c r="AS5" s="25"/>
      <c r="AT5" s="25"/>
      <c r="AU5" s="25"/>
      <c r="AV5" s="25"/>
      <c r="AW5" s="25"/>
      <c r="AX5" s="25">
        <f t="shared" si="2"/>
        <v>21.593</v>
      </c>
    </row>
    <row r="6" spans="1:50" x14ac:dyDescent="0.3">
      <c r="A6" s="4">
        <v>46023</v>
      </c>
      <c r="B6" s="1" t="s">
        <v>47</v>
      </c>
      <c r="C6" s="2">
        <v>46023.784722222219</v>
      </c>
      <c r="D6" s="2">
        <v>46024.297222222223</v>
      </c>
      <c r="E6" s="5">
        <f t="shared" si="0"/>
        <v>0.51250000000436557</v>
      </c>
      <c r="F6" s="6">
        <f t="shared" ref="F6:F66" si="3">ROUND(VALUE(E6)*4,2)</f>
        <v>2.0499999999999998</v>
      </c>
      <c r="H6" s="24" t="s">
        <v>25</v>
      </c>
      <c r="I6" s="11" cm="1">
        <f t="array" ref="I6">ROUND(SUMIFS(PUNTO,STAFF,$H6,FECHA,I$2),2)</f>
        <v>0</v>
      </c>
      <c r="J6" s="11" cm="1">
        <f t="array" ref="J6">ROUND(SUMIFS(PUNTO,STAFF,$H6,FECHA,J$2),2)</f>
        <v>0</v>
      </c>
      <c r="K6" s="11" cm="1">
        <f t="array" ref="K6">ROUND(SUMIFS(PUNTO,STAFF,$H6,FECHA,K$2),2)</f>
        <v>0</v>
      </c>
      <c r="L6" s="11" cm="1">
        <f t="array" ref="L6">ROUND(SUMIFS(PUNTO,STAFF,$H6,FECHA,L$2),2)</f>
        <v>0</v>
      </c>
      <c r="M6" s="11" cm="1">
        <f t="array" ref="M6">ROUND(SUMIFS(PUNTO,STAFF,$H6,FECHA,M$2),2)</f>
        <v>0</v>
      </c>
      <c r="N6" s="11" cm="1">
        <f t="array" ref="N6">ROUND(SUMIFS(PUNTO,STAFF,$H6,FECHA,N$2),2)</f>
        <v>0</v>
      </c>
      <c r="O6" s="11" cm="1">
        <f t="array" ref="O6">ROUND(SUMIFS(PUNTO,STAFF,$H6,FECHA,O$2),2)</f>
        <v>0</v>
      </c>
      <c r="P6" s="11" cm="1">
        <f t="array" ref="P6">ROUND(SUMIFS(PUNTO,STAFF,$H6,FECHA,P$2),2)</f>
        <v>2.14</v>
      </c>
      <c r="Q6" s="11" cm="1">
        <f t="array" ref="Q6">ROUND(SUMIFS(PUNTO,STAFF,$H6,FECHA,Q$2),2)</f>
        <v>0</v>
      </c>
      <c r="R6" s="11" cm="1">
        <f t="array" ref="R6">ROUND(SUMIFS(PUNTO,STAFF,$H6,FECHA,R$2),2)</f>
        <v>0</v>
      </c>
      <c r="S6" s="11" cm="1">
        <f t="array" ref="S6">ROUND(SUMIFS(PUNTO,STAFF,$H6,FECHA,S$2),2)</f>
        <v>0</v>
      </c>
      <c r="T6" s="11" cm="1">
        <f t="array" ref="T6">ROUND(SUMIFS(PUNTO,STAFF,$H6,FECHA,T$2),2)</f>
        <v>0</v>
      </c>
      <c r="U6" s="11" cm="1">
        <f t="array" ref="U6">ROUND(SUMIFS(PUNTO,STAFF,$H6,FECHA,U$2),2)</f>
        <v>0</v>
      </c>
      <c r="V6" s="11" cm="1">
        <f t="array" ref="V6">ROUND(SUMIFS(PUNTO,STAFF,$H6,FECHA,V$2),2)</f>
        <v>0</v>
      </c>
      <c r="W6" s="11" cm="1">
        <f t="array" ref="W6">ROUND(SUMIFS(PUNTO,STAFF,$H6,FECHA,W$2),2)</f>
        <v>1.19</v>
      </c>
      <c r="X6" s="11" cm="1">
        <f t="array" ref="X6">ROUND(SUMIFS(PUNTO,STAFF,$H6,FECHA,X$2),2)</f>
        <v>0</v>
      </c>
      <c r="Y6" s="11" cm="1">
        <f t="array" ref="Y6">ROUND(SUMIFS(PUNTO,STAFF,$H6,FECHA,Y$2),2)</f>
        <v>0</v>
      </c>
      <c r="Z6" s="11" cm="1">
        <f t="array" ref="Z6">ROUND(SUMIFS(PUNTO,STAFF,$H6,FECHA,Z$2),2)</f>
        <v>0</v>
      </c>
      <c r="AA6" s="11" cm="1">
        <f t="array" ref="AA6">ROUND(SUMIFS(PUNTO,STAFF,$H6,FECHA,AA$2),2)</f>
        <v>0</v>
      </c>
      <c r="AB6" s="11" cm="1">
        <f t="array" ref="AB6">ROUND(SUMIFS(PUNTO,STAFF,$H6,FECHA,AB$2),2)</f>
        <v>0</v>
      </c>
      <c r="AC6" s="11" cm="1">
        <f t="array" ref="AC6">ROUND(SUMIFS(PUNTO,STAFF,$H6,FECHA,AC$2),2)</f>
        <v>0</v>
      </c>
      <c r="AD6" s="11" cm="1">
        <f t="array" ref="AD6">ROUND(SUMIFS(PUNTO,STAFF,$H6,FECHA,AD$2),2)</f>
        <v>1.72</v>
      </c>
      <c r="AE6" s="11" cm="1">
        <f t="array" ref="AE6">ROUND(SUMIFS(PUNTO,STAFF,$H6,FECHA,AE$2),2)</f>
        <v>0</v>
      </c>
      <c r="AF6" s="11" cm="1">
        <f t="array" ref="AF6">ROUND(SUMIFS(PUNTO,STAFF,$H6,FECHA,AF$2),2)</f>
        <v>0</v>
      </c>
      <c r="AG6" s="11" cm="1">
        <f t="array" ref="AG6">ROUND(SUMIFS(PUNTO,STAFF,$H6,FECHA,AG$2),2)</f>
        <v>0</v>
      </c>
      <c r="AH6" s="11" cm="1">
        <f t="array" ref="AH6">ROUND(SUMIFS(PUNTO,STAFF,$H6,FECHA,AH$2),2)</f>
        <v>0</v>
      </c>
      <c r="AI6" s="11" cm="1">
        <f t="array" ref="AI6">ROUND(SUMIFS(PUNTO,STAFF,$H6,FECHA,AI$2),2)</f>
        <v>0</v>
      </c>
      <c r="AJ6" s="11" cm="1">
        <f t="array" ref="AJ6">ROUND(SUMIFS(PUNTO,STAFF,$H6,FECHA,AJ$2),2)</f>
        <v>0</v>
      </c>
      <c r="AK6" s="11" cm="1">
        <f t="array" ref="AK6">ROUND(SUMIFS(PUNTO,STAFF,$H6,FECHA,AK$2),2)</f>
        <v>1.88</v>
      </c>
      <c r="AL6" s="11" cm="1">
        <f t="array" ref="AL6">ROUND(SUMIFS(PUNTO,STAFF,$H6,FECHA,AL$2),2)</f>
        <v>0</v>
      </c>
      <c r="AM6" s="11" cm="1">
        <f t="array" ref="AM6">ROUND(SUMIFS(PUNTO,STAFF,$H6,FECHA,AM$2),2)</f>
        <v>0</v>
      </c>
      <c r="AN6" s="26">
        <f t="shared" si="1"/>
        <v>6.93</v>
      </c>
      <c r="AO6" s="26"/>
      <c r="AP6" s="27">
        <f>AN6+AO6</f>
        <v>6.93</v>
      </c>
      <c r="AQ6" s="26"/>
      <c r="AR6" s="26"/>
      <c r="AS6" s="26"/>
      <c r="AT6" s="26">
        <f>AN6*AT2</f>
        <v>0.34650000000000003</v>
      </c>
      <c r="AU6" s="26">
        <f>AN6*$AU$2</f>
        <v>0.34650000000000003</v>
      </c>
      <c r="AV6" s="26"/>
      <c r="AW6" s="26"/>
      <c r="AX6" s="25">
        <f t="shared" si="2"/>
        <v>7.6229999999999993</v>
      </c>
    </row>
    <row r="7" spans="1:50" x14ac:dyDescent="0.3">
      <c r="A7" s="4">
        <v>46023</v>
      </c>
      <c r="B7" s="1" t="s">
        <v>38</v>
      </c>
      <c r="C7" s="2">
        <v>46023.789583333331</v>
      </c>
      <c r="D7" s="2">
        <v>46024.323611111111</v>
      </c>
      <c r="E7" s="5">
        <f t="shared" si="0"/>
        <v>0.53402777777955635</v>
      </c>
      <c r="F7" s="6">
        <f t="shared" si="3"/>
        <v>2.14</v>
      </c>
      <c r="H7" s="21" t="s">
        <v>26</v>
      </c>
      <c r="I7" s="19" cm="1">
        <f t="array" ref="I7">ROUND(SUMIFS(PUNTO,STAFF,$H7,FECHA,I$2),2)</f>
        <v>0</v>
      </c>
      <c r="J7" s="19" cm="1">
        <f t="array" ref="J7">ROUND(SUMIFS(PUNTO,STAFF,$H7,FECHA,J$2),2)</f>
        <v>0</v>
      </c>
      <c r="K7" s="19" cm="1">
        <f t="array" ref="K7">ROUND(SUMIFS(PUNTO,STAFF,$H7,FECHA,K$2),2)</f>
        <v>0</v>
      </c>
      <c r="L7" s="19" cm="1">
        <f t="array" ref="L7">ROUND(SUMIFS(PUNTO,STAFF,$H7,FECHA,L$2),2)</f>
        <v>0.21</v>
      </c>
      <c r="M7" s="19" cm="1">
        <f t="array" ref="M7">ROUND(SUMIFS(PUNTO,STAFF,$H7,FECHA,M$2),2)</f>
        <v>1.29</v>
      </c>
      <c r="N7" s="19" cm="1">
        <f t="array" ref="N7">ROUND(SUMIFS(PUNTO,STAFF,$H7,FECHA,N$2),2)</f>
        <v>1.89</v>
      </c>
      <c r="O7" s="19" cm="1">
        <f t="array" ref="O7">ROUND(SUMIFS(PUNTO,STAFF,$H7,FECHA,O$2),2)</f>
        <v>1.3</v>
      </c>
      <c r="P7" s="19" cm="1">
        <f t="array" ref="P7">ROUND(SUMIFS(PUNTO,STAFF,$H7,FECHA,P$2),2)</f>
        <v>1.81</v>
      </c>
      <c r="Q7" s="19" cm="1">
        <f t="array" ref="Q7">ROUND(SUMIFS(PUNTO,STAFF,$H7,FECHA,Q$2),2)</f>
        <v>1.54</v>
      </c>
      <c r="R7" s="19" cm="1">
        <f t="array" ref="R7">ROUND(SUMIFS(PUNTO,STAFF,$H7,FECHA,R$2),2)</f>
        <v>0</v>
      </c>
      <c r="S7" s="19" cm="1">
        <f t="array" ref="S7">ROUND(SUMIFS(PUNTO,STAFF,$H7,FECHA,S$2),2)</f>
        <v>0</v>
      </c>
      <c r="T7" s="19" cm="1">
        <f t="array" ref="T7">ROUND(SUMIFS(PUNTO,STAFF,$H7,FECHA,T$2),2)</f>
        <v>2.2200000000000002</v>
      </c>
      <c r="U7" s="19" cm="1">
        <f t="array" ref="U7">ROUND(SUMIFS(PUNTO,STAFF,$H7,FECHA,U$2),2)</f>
        <v>0.87</v>
      </c>
      <c r="V7" s="19" cm="1">
        <f t="array" ref="V7">ROUND(SUMIFS(PUNTO,STAFF,$H7,FECHA,V$2),2)</f>
        <v>1.18</v>
      </c>
      <c r="W7" s="19" cm="1">
        <f t="array" ref="W7">ROUND(SUMIFS(PUNTO,STAFF,$H7,FECHA,W$2),2)</f>
        <v>1.54</v>
      </c>
      <c r="X7" s="19" cm="1">
        <f t="array" ref="X7">ROUND(SUMIFS(PUNTO,STAFF,$H7,FECHA,X$2),2)</f>
        <v>0</v>
      </c>
      <c r="Y7" s="19" cm="1">
        <f t="array" ref="Y7">ROUND(SUMIFS(PUNTO,STAFF,$H7,FECHA,Y$2),2)</f>
        <v>0</v>
      </c>
      <c r="Z7" s="19" cm="1">
        <f t="array" ref="Z7">ROUND(SUMIFS(PUNTO,STAFF,$H7,FECHA,Z$2),2)</f>
        <v>0</v>
      </c>
      <c r="AA7" s="19" cm="1">
        <f t="array" ref="AA7">ROUND(SUMIFS(PUNTO,STAFF,$H7,FECHA,AA$2),2)</f>
        <v>0.28000000000000003</v>
      </c>
      <c r="AB7" s="19" cm="1">
        <f t="array" ref="AB7">ROUND(SUMIFS(PUNTO,STAFF,$H7,FECHA,AB$2),2)</f>
        <v>1.84</v>
      </c>
      <c r="AC7" s="19" cm="1">
        <f t="array" ref="AC7">ROUND(SUMIFS(PUNTO,STAFF,$H7,FECHA,AC$2),2)</f>
        <v>1.96</v>
      </c>
      <c r="AD7" s="19" cm="1">
        <f t="array" ref="AD7">ROUND(SUMIFS(PUNTO,STAFF,$H7,FECHA,AD$2),2)</f>
        <v>1.87</v>
      </c>
      <c r="AE7" s="19" cm="1">
        <f t="array" ref="AE7">ROUND(SUMIFS(PUNTO,STAFF,$H7,FECHA,AE$2),2)</f>
        <v>0.28999999999999998</v>
      </c>
      <c r="AF7" s="19" cm="1">
        <f t="array" ref="AF7">ROUND(SUMIFS(PUNTO,STAFF,$H7,FECHA,AF$2),2)</f>
        <v>0</v>
      </c>
      <c r="AG7" s="19" cm="1">
        <f t="array" ref="AG7">ROUND(SUMIFS(PUNTO,STAFF,$H7,FECHA,AG$2),2)</f>
        <v>0</v>
      </c>
      <c r="AH7" s="19" cm="1">
        <f t="array" ref="AH7">ROUND(SUMIFS(PUNTO,STAFF,$H7,FECHA,AH$2),2)</f>
        <v>0</v>
      </c>
      <c r="AI7" s="19" cm="1">
        <f t="array" ref="AI7">ROUND(SUMIFS(PUNTO,STAFF,$H7,FECHA,AI$2),2)</f>
        <v>0</v>
      </c>
      <c r="AJ7" s="19" cm="1">
        <f t="array" ref="AJ7">ROUND(SUMIFS(PUNTO,STAFF,$H7,FECHA,AJ$2),2)</f>
        <v>0</v>
      </c>
      <c r="AK7" s="19" cm="1">
        <f t="array" ref="AK7">ROUND(SUMIFS(PUNTO,STAFF,$H7,FECHA,AK$2),2)</f>
        <v>0</v>
      </c>
      <c r="AL7" s="19" cm="1">
        <f t="array" ref="AL7">ROUND(SUMIFS(PUNTO,STAFF,$H7,FECHA,AL$2),2)</f>
        <v>0</v>
      </c>
      <c r="AM7" s="19" cm="1">
        <f t="array" ref="AM7">ROUND(SUMIFS(PUNTO,STAFF,$H7,FECHA,AM$2),2)</f>
        <v>0</v>
      </c>
      <c r="AN7" s="25">
        <f t="shared" si="1"/>
        <v>20.089999999999996</v>
      </c>
      <c r="AO7" s="25">
        <v>2.13</v>
      </c>
      <c r="AP7" s="27">
        <f>AN7+AO7</f>
        <v>22.219999999999995</v>
      </c>
      <c r="AQ7" s="25">
        <f>AP7*$AQ$2</f>
        <v>2.2219999999999995</v>
      </c>
      <c r="AR7" s="25">
        <f>AN7*$AR$2</f>
        <v>2.0089999999999999</v>
      </c>
      <c r="AS7" s="25"/>
      <c r="AT7" s="25">
        <f>AT2*AN7</f>
        <v>1.0044999999999999</v>
      </c>
      <c r="AU7" s="25">
        <f>AN7*$AU$2</f>
        <v>1.0044999999999999</v>
      </c>
      <c r="AV7" s="25"/>
      <c r="AW7" s="25"/>
      <c r="AX7" s="25">
        <f t="shared" si="2"/>
        <v>28.459999999999994</v>
      </c>
    </row>
    <row r="8" spans="1:50" x14ac:dyDescent="0.3">
      <c r="A8" s="4">
        <v>46024</v>
      </c>
      <c r="B8" s="1" t="s">
        <v>27</v>
      </c>
      <c r="C8" s="2">
        <v>0.24236111111111111</v>
      </c>
      <c r="D8" s="2">
        <v>0.36666666666666664</v>
      </c>
      <c r="E8" s="5">
        <f t="shared" si="0"/>
        <v>0.12430555555555553</v>
      </c>
      <c r="F8" s="6">
        <f t="shared" si="3"/>
        <v>0.5</v>
      </c>
      <c r="H8" s="24" t="s">
        <v>6</v>
      </c>
      <c r="I8" s="11" cm="1">
        <f t="array" ref="I8">ROUND(SUMIFS(PUNTO,STAFF,$H8,FECHA,I$2),2)</f>
        <v>0.48</v>
      </c>
      <c r="J8" s="11" cm="1">
        <f t="array" ref="J8">ROUND(SUMIFS(PUNTO,STAFF,$H8,FECHA,J$2),2)</f>
        <v>0</v>
      </c>
      <c r="K8" s="11" cm="1">
        <f t="array" ref="K8">ROUND(SUMIFS(PUNTO,STAFF,$H8,FECHA,K$2),2)</f>
        <v>0</v>
      </c>
      <c r="L8" s="11" cm="1">
        <f t="array" ref="L8">ROUND(SUMIFS(PUNTO,STAFF,$H8,FECHA,L$2),2)</f>
        <v>0</v>
      </c>
      <c r="M8" s="11" cm="1">
        <f t="array" ref="M8">ROUND(SUMIFS(PUNTO,STAFF,$H8,FECHA,M$2),2)</f>
        <v>1</v>
      </c>
      <c r="N8" s="11" cm="1">
        <f t="array" ref="N8">ROUND(SUMIFS(PUNTO,STAFF,$H8,FECHA,N$2),2)</f>
        <v>0</v>
      </c>
      <c r="O8" s="11" cm="1">
        <f t="array" ref="O8">ROUND(SUMIFS(PUNTO,STAFF,$H8,FECHA,O$2),2)</f>
        <v>2.31</v>
      </c>
      <c r="P8" s="11" cm="1">
        <f t="array" ref="P8">ROUND(SUMIFS(PUNTO,STAFF,$H8,FECHA,P$2),2)</f>
        <v>0</v>
      </c>
      <c r="Q8" s="11" cm="1">
        <f t="array" ref="Q8">ROUND(SUMIFS(PUNTO,STAFF,$H8,FECHA,Q$2),2)</f>
        <v>2.0099999999999998</v>
      </c>
      <c r="R8" s="11" cm="1">
        <f t="array" ref="R8">ROUND(SUMIFS(PUNTO,STAFF,$H8,FECHA,R$2),2)</f>
        <v>0</v>
      </c>
      <c r="S8" s="11" cm="1">
        <f t="array" ref="S8">ROUND(SUMIFS(PUNTO,STAFF,$H8,FECHA,S$2),2)</f>
        <v>0</v>
      </c>
      <c r="T8" s="11" cm="1">
        <f t="array" ref="T8">ROUND(SUMIFS(PUNTO,STAFF,$H8,FECHA,T$2),2)</f>
        <v>1.99</v>
      </c>
      <c r="U8" s="11" cm="1">
        <f t="array" ref="U8">ROUND(SUMIFS(PUNTO,STAFF,$H8,FECHA,U$2),2)</f>
        <v>0</v>
      </c>
      <c r="V8" s="11" cm="1">
        <f t="array" ref="V8">ROUND(SUMIFS(PUNTO,STAFF,$H8,FECHA,V$2),2)</f>
        <v>2.2799999999999998</v>
      </c>
      <c r="W8" s="11" cm="1">
        <f t="array" ref="W8">ROUND(SUMIFS(PUNTO,STAFF,$H8,FECHA,W$2),2)</f>
        <v>0</v>
      </c>
      <c r="X8" s="11" cm="1">
        <f t="array" ref="X8">ROUND(SUMIFS(PUNTO,STAFF,$H8,FECHA,X$2),2)</f>
        <v>1.81</v>
      </c>
      <c r="Y8" s="11" cm="1">
        <f t="array" ref="Y8">ROUND(SUMIFS(PUNTO,STAFF,$H8,FECHA,Y$2),2)</f>
        <v>0</v>
      </c>
      <c r="Z8" s="11" cm="1">
        <f t="array" ref="Z8">ROUND(SUMIFS(PUNTO,STAFF,$H8,FECHA,Z$2),2)</f>
        <v>0</v>
      </c>
      <c r="AA8" s="11" cm="1">
        <f t="array" ref="AA8">ROUND(SUMIFS(PUNTO,STAFF,$H8,FECHA,AA$2),2)</f>
        <v>2.0499999999999998</v>
      </c>
      <c r="AB8" s="11" cm="1">
        <f t="array" ref="AB8">ROUND(SUMIFS(PUNTO,STAFF,$H8,FECHA,AB$2),2)</f>
        <v>0</v>
      </c>
      <c r="AC8" s="11" cm="1">
        <f t="array" ref="AC8">ROUND(SUMIFS(PUNTO,STAFF,$H8,FECHA,AC$2),2)</f>
        <v>2.5</v>
      </c>
      <c r="AD8" s="11" cm="1">
        <f t="array" ref="AD8">ROUND(SUMIFS(PUNTO,STAFF,$H8,FECHA,AD$2),2)</f>
        <v>0</v>
      </c>
      <c r="AE8" s="11" cm="1">
        <f t="array" ref="AE8">ROUND(SUMIFS(PUNTO,STAFF,$H8,FECHA,AE$2),2)</f>
        <v>1.73</v>
      </c>
      <c r="AF8" s="11" cm="1">
        <f t="array" ref="AF8">ROUND(SUMIFS(PUNTO,STAFF,$H8,FECHA,AF$2),2)</f>
        <v>0</v>
      </c>
      <c r="AG8" s="11" cm="1">
        <f t="array" ref="AG8">ROUND(SUMIFS(PUNTO,STAFF,$H8,FECHA,AG$2),2)</f>
        <v>0</v>
      </c>
      <c r="AH8" s="11" cm="1">
        <f t="array" ref="AH8">ROUND(SUMIFS(PUNTO,STAFF,$H8,FECHA,AH$2),2)</f>
        <v>1.77</v>
      </c>
      <c r="AI8" s="11" cm="1">
        <f t="array" ref="AI8">ROUND(SUMIFS(PUNTO,STAFF,$H8,FECHA,AI$2),2)</f>
        <v>0</v>
      </c>
      <c r="AJ8" s="11" cm="1">
        <f t="array" ref="AJ8">ROUND(SUMIFS(PUNTO,STAFF,$H8,FECHA,AJ$2),2)</f>
        <v>2.5499999999999998</v>
      </c>
      <c r="AK8" s="11" cm="1">
        <f t="array" ref="AK8">ROUND(SUMIFS(PUNTO,STAFF,$H8,FECHA,AK$2),2)</f>
        <v>0</v>
      </c>
      <c r="AL8" s="11" cm="1">
        <f t="array" ref="AL8">ROUND(SUMIFS(PUNTO,STAFF,$H8,FECHA,AL$2),2)</f>
        <v>0.68</v>
      </c>
      <c r="AM8" s="11" cm="1">
        <f t="array" ref="AM8">ROUND(SUMIFS(PUNTO,STAFF,$H8,FECHA,AM$2),2)</f>
        <v>0</v>
      </c>
      <c r="AN8" s="26">
        <f t="shared" si="1"/>
        <v>23.16</v>
      </c>
      <c r="AO8" s="26"/>
      <c r="AP8" s="27">
        <f>AN8+AO8</f>
        <v>23.16</v>
      </c>
      <c r="AQ8" s="26">
        <f t="shared" ref="AQ8:AQ17" si="4">AP8*$AQ$2</f>
        <v>2.3160000000000003</v>
      </c>
      <c r="AR8" s="26">
        <f>AN8*$AR$2</f>
        <v>2.3160000000000003</v>
      </c>
      <c r="AS8" s="26"/>
      <c r="AT8" s="26">
        <f>AT2*AN8</f>
        <v>1.1580000000000001</v>
      </c>
      <c r="AU8" s="26">
        <f>AN8*$AU$2</f>
        <v>1.1580000000000001</v>
      </c>
      <c r="AV8" s="26"/>
      <c r="AW8" s="26"/>
      <c r="AX8" s="25">
        <f t="shared" si="2"/>
        <v>30.108000000000001</v>
      </c>
    </row>
    <row r="9" spans="1:50" x14ac:dyDescent="0.3">
      <c r="A9" s="4">
        <v>46024</v>
      </c>
      <c r="B9" s="1" t="s">
        <v>4</v>
      </c>
      <c r="C9" s="2">
        <v>0.28819444444444442</v>
      </c>
      <c r="D9" s="2">
        <v>0.79513888888888884</v>
      </c>
      <c r="E9" s="5">
        <f t="shared" si="0"/>
        <v>0.50694444444444442</v>
      </c>
      <c r="F9" s="6">
        <f t="shared" si="3"/>
        <v>2.0299999999999998</v>
      </c>
      <c r="H9" s="21" t="s">
        <v>27</v>
      </c>
      <c r="I9" s="19" cm="1">
        <f t="array" ref="I9">ROUND(SUMIFS(PUNTO,STAFF,$H9,FECHA,I$2),2)</f>
        <v>0</v>
      </c>
      <c r="J9" s="19" cm="1">
        <f t="array" ref="J9">ROUND(SUMIFS(PUNTO,STAFF,$H9,FECHA,J$2),2)</f>
        <v>0.5</v>
      </c>
      <c r="K9" s="19" cm="1">
        <f t="array" ref="K9">ROUND(SUMIFS(PUNTO,STAFF,$H9,FECHA,K$2),2)</f>
        <v>0</v>
      </c>
      <c r="L9" s="19" cm="1">
        <f t="array" ref="L9">ROUND(SUMIFS(PUNTO,STAFF,$H9,FECHA,L$2),2)</f>
        <v>2.16</v>
      </c>
      <c r="M9" s="19" cm="1">
        <f t="array" ref="M9">ROUND(SUMIFS(PUNTO,STAFF,$H9,FECHA,M$2),2)</f>
        <v>2.99</v>
      </c>
      <c r="N9" s="19" cm="1">
        <f t="array" ref="N9">ROUND(SUMIFS(PUNTO,STAFF,$H9,FECHA,N$2),2)</f>
        <v>0</v>
      </c>
      <c r="O9" s="19" cm="1">
        <f t="array" ref="O9">ROUND(SUMIFS(PUNTO,STAFF,$H9,FECHA,O$2),2)</f>
        <v>2.0499999999999998</v>
      </c>
      <c r="P9" s="19" cm="1">
        <f t="array" ref="P9">ROUND(SUMIFS(PUNTO,STAFF,$H9,FECHA,P$2),2)</f>
        <v>0</v>
      </c>
      <c r="Q9" s="19" cm="1">
        <f t="array" ref="Q9">ROUND(SUMIFS(PUNTO,STAFF,$H9,FECHA,Q$2),2)</f>
        <v>2.0499999999999998</v>
      </c>
      <c r="R9" s="19" cm="1">
        <f t="array" ref="R9">ROUND(SUMIFS(PUNTO,STAFF,$H9,FECHA,R$2),2)</f>
        <v>1.63</v>
      </c>
      <c r="S9" s="19" cm="1">
        <f t="array" ref="S9">ROUND(SUMIFS(PUNTO,STAFF,$H9,FECHA,S$2),2)</f>
        <v>0</v>
      </c>
      <c r="T9" s="19" cm="1">
        <f t="array" ref="T9">ROUND(SUMIFS(PUNTO,STAFF,$H9,FECHA,T$2),2)</f>
        <v>3</v>
      </c>
      <c r="U9" s="19" cm="1">
        <f t="array" ref="U9">ROUND(SUMIFS(PUNTO,STAFF,$H9,FECHA,U$2),2)</f>
        <v>0</v>
      </c>
      <c r="V9" s="19" cm="1">
        <f t="array" ref="V9">ROUND(SUMIFS(PUNTO,STAFF,$H9,FECHA,V$2),2)</f>
        <v>2.23</v>
      </c>
      <c r="W9" s="19" cm="1">
        <f t="array" ref="W9">ROUND(SUMIFS(PUNTO,STAFF,$H9,FECHA,W$2),2)</f>
        <v>0</v>
      </c>
      <c r="X9" s="19" cm="1">
        <f t="array" ref="X9">ROUND(SUMIFS(PUNTO,STAFF,$H9,FECHA,X$2),2)</f>
        <v>1.93</v>
      </c>
      <c r="Y9" s="19" cm="1">
        <f t="array" ref="Y9">ROUND(SUMIFS(PUNTO,STAFF,$H9,FECHA,Y$2),2)</f>
        <v>0</v>
      </c>
      <c r="Z9" s="19" cm="1">
        <f t="array" ref="Z9">ROUND(SUMIFS(PUNTO,STAFF,$H9,FECHA,Z$2),2)</f>
        <v>0</v>
      </c>
      <c r="AA9" s="19" cm="1">
        <f t="array" ref="AA9">ROUND(SUMIFS(PUNTO,STAFF,$H9,FECHA,AA$2),2)</f>
        <v>2.77</v>
      </c>
      <c r="AB9" s="19" cm="1">
        <f t="array" ref="AB9">ROUND(SUMIFS(PUNTO,STAFF,$H9,FECHA,AB$2),2)</f>
        <v>0</v>
      </c>
      <c r="AC9" s="19" cm="1">
        <f t="array" ref="AC9">ROUND(SUMIFS(PUNTO,STAFF,$H9,FECHA,AC$2),2)</f>
        <v>1.92</v>
      </c>
      <c r="AD9" s="19" cm="1">
        <f t="array" ref="AD9">ROUND(SUMIFS(PUNTO,STAFF,$H9,FECHA,AD$2),2)</f>
        <v>0</v>
      </c>
      <c r="AE9" s="19" cm="1">
        <f t="array" ref="AE9">ROUND(SUMIFS(PUNTO,STAFF,$H9,FECHA,AE$2),2)</f>
        <v>1.92</v>
      </c>
      <c r="AF9" s="19" cm="1">
        <f t="array" ref="AF9">ROUND(SUMIFS(PUNTO,STAFF,$H9,FECHA,AF$2),2)</f>
        <v>0</v>
      </c>
      <c r="AG9" s="19" cm="1">
        <f t="array" ref="AG9">ROUND(SUMIFS(PUNTO,STAFF,$H9,FECHA,AG$2),2)</f>
        <v>0</v>
      </c>
      <c r="AH9" s="19" cm="1">
        <f t="array" ref="AH9">ROUND(SUMIFS(PUNTO,STAFF,$H9,FECHA,AH$2),2)</f>
        <v>2.96</v>
      </c>
      <c r="AI9" s="19" cm="1">
        <f t="array" ref="AI9">ROUND(SUMIFS(PUNTO,STAFF,$H9,FECHA,AI$2),2)</f>
        <v>0</v>
      </c>
      <c r="AJ9" s="19" cm="1">
        <f t="array" ref="AJ9">ROUND(SUMIFS(PUNTO,STAFF,$H9,FECHA,AJ$2),2)</f>
        <v>2.16</v>
      </c>
      <c r="AK9" s="19" cm="1">
        <f t="array" ref="AK9">ROUND(SUMIFS(PUNTO,STAFF,$H9,FECHA,AK$2),2)</f>
        <v>0</v>
      </c>
      <c r="AL9" s="19" cm="1">
        <f t="array" ref="AL9">ROUND(SUMIFS(PUNTO,STAFF,$H9,FECHA,AL$2),2)</f>
        <v>2.08</v>
      </c>
      <c r="AM9" s="19" cm="1">
        <f t="array" ref="AM9">ROUND(SUMIFS(PUNTO,STAFF,$H9,FECHA,AM$2),2)</f>
        <v>0</v>
      </c>
      <c r="AN9" s="25">
        <f t="shared" si="1"/>
        <v>32.35</v>
      </c>
      <c r="AO9" s="25"/>
      <c r="AP9" s="27">
        <f>AN9+AO9</f>
        <v>32.35</v>
      </c>
      <c r="AQ9" s="25">
        <f t="shared" si="4"/>
        <v>3.2350000000000003</v>
      </c>
      <c r="AR9" s="25"/>
      <c r="AS9" s="25">
        <f>AN9*$AS$2</f>
        <v>1.6175000000000002</v>
      </c>
      <c r="AT9" s="25"/>
      <c r="AU9" s="25"/>
      <c r="AV9" s="25"/>
      <c r="AW9" s="25"/>
      <c r="AX9" s="25">
        <f t="shared" si="2"/>
        <v>37.202500000000001</v>
      </c>
    </row>
    <row r="10" spans="1:50" x14ac:dyDescent="0.3">
      <c r="A10" s="4">
        <v>46024</v>
      </c>
      <c r="B10" s="1" t="s">
        <v>43</v>
      </c>
      <c r="C10" s="2">
        <v>0.29791666666666666</v>
      </c>
      <c r="D10" s="2">
        <v>0.84236111111111112</v>
      </c>
      <c r="E10" s="5">
        <f t="shared" si="0"/>
        <v>0.54444444444444451</v>
      </c>
      <c r="F10" s="6">
        <f t="shared" si="3"/>
        <v>2.1800000000000002</v>
      </c>
      <c r="H10" s="24" t="s">
        <v>28</v>
      </c>
      <c r="I10" s="11" cm="1">
        <f t="array" ref="I10">ROUND(SUMIFS(PUNTO,STAFF,$H10,FECHA,I$2),2)</f>
        <v>0</v>
      </c>
      <c r="J10" s="11" cm="1">
        <f t="array" ref="J10">ROUND(SUMIFS(PUNTO,STAFF,$H10,FECHA,J$2),2)</f>
        <v>0.54</v>
      </c>
      <c r="K10" s="11" cm="1">
        <f t="array" ref="K10">ROUND(SUMIFS(PUNTO,STAFF,$H10,FECHA,K$2),2)</f>
        <v>0</v>
      </c>
      <c r="L10" s="11" cm="1">
        <f t="array" ref="L10">ROUND(SUMIFS(PUNTO,STAFF,$H10,FECHA,L$2),2)</f>
        <v>0</v>
      </c>
      <c r="M10" s="11" cm="1">
        <f t="array" ref="M10">ROUND(SUMIFS(PUNTO,STAFF,$H10,FECHA,M$2),2)</f>
        <v>0.76</v>
      </c>
      <c r="N10" s="11" cm="1">
        <f t="array" ref="N10">ROUND(SUMIFS(PUNTO,STAFF,$H10,FECHA,N$2),2)</f>
        <v>2.0099999999999998</v>
      </c>
      <c r="O10" s="11" cm="1">
        <f t="array" ref="O10">ROUND(SUMIFS(PUNTO,STAFF,$H10,FECHA,O$2),2)</f>
        <v>2.09</v>
      </c>
      <c r="P10" s="11" cm="1">
        <f t="array" ref="P10">ROUND(SUMIFS(PUNTO,STAFF,$H10,FECHA,P$2),2)</f>
        <v>1.81</v>
      </c>
      <c r="Q10" s="11" cm="1">
        <f t="array" ref="Q10">ROUND(SUMIFS(PUNTO,STAFF,$H10,FECHA,Q$2),2)</f>
        <v>1.1599999999999999</v>
      </c>
      <c r="R10" s="11" cm="1">
        <f t="array" ref="R10">ROUND(SUMIFS(PUNTO,STAFF,$H10,FECHA,R$2),2)</f>
        <v>0</v>
      </c>
      <c r="S10" s="11" cm="1">
        <f t="array" ref="S10">ROUND(SUMIFS(PUNTO,STAFF,$H10,FECHA,S$2),2)</f>
        <v>0</v>
      </c>
      <c r="T10" s="11" cm="1">
        <f t="array" ref="T10">ROUND(SUMIFS(PUNTO,STAFF,$H10,FECHA,T$2),2)</f>
        <v>0.32</v>
      </c>
      <c r="U10" s="11" cm="1">
        <f t="array" ref="U10">ROUND(SUMIFS(PUNTO,STAFF,$H10,FECHA,U$2),2)</f>
        <v>2.02</v>
      </c>
      <c r="V10" s="11" cm="1">
        <f t="array" ref="V10">ROUND(SUMIFS(PUNTO,STAFF,$H10,FECHA,V$2),2)</f>
        <v>2.0299999999999998</v>
      </c>
      <c r="W10" s="11" cm="1">
        <f t="array" ref="W10">ROUND(SUMIFS(PUNTO,STAFF,$H10,FECHA,W$2),2)</f>
        <v>1.99</v>
      </c>
      <c r="X10" s="11" cm="1">
        <f t="array" ref="X10">ROUND(SUMIFS(PUNTO,STAFF,$H10,FECHA,X$2),2)</f>
        <v>0.89</v>
      </c>
      <c r="Y10" s="11" cm="1">
        <f t="array" ref="Y10">ROUND(SUMIFS(PUNTO,STAFF,$H10,FECHA,Y$2),2)</f>
        <v>0.98</v>
      </c>
      <c r="Z10" s="11" cm="1">
        <f t="array" ref="Z10">ROUND(SUMIFS(PUNTO,STAFF,$H10,FECHA,Z$2),2)</f>
        <v>0</v>
      </c>
      <c r="AA10" s="11" cm="1">
        <f t="array" ref="AA10">ROUND(SUMIFS(PUNTO,STAFF,$H10,FECHA,AA$2),2)</f>
        <v>0</v>
      </c>
      <c r="AB10" s="11" cm="1">
        <f t="array" ref="AB10">ROUND(SUMIFS(PUNTO,STAFF,$H10,FECHA,AB$2),2)</f>
        <v>2.0099999999999998</v>
      </c>
      <c r="AC10" s="11" cm="1">
        <f t="array" ref="AC10">ROUND(SUMIFS(PUNTO,STAFF,$H10,FECHA,AC$2),2)</f>
        <v>2.06</v>
      </c>
      <c r="AD10" s="11" cm="1">
        <f t="array" ref="AD10">ROUND(SUMIFS(PUNTO,STAFF,$H10,FECHA,AD$2),2)</f>
        <v>1.27</v>
      </c>
      <c r="AE10" s="11" cm="1">
        <f t="array" ref="AE10">ROUND(SUMIFS(PUNTO,STAFF,$H10,FECHA,AE$2),2)</f>
        <v>0</v>
      </c>
      <c r="AF10" s="11" cm="1">
        <f t="array" ref="AF10">ROUND(SUMIFS(PUNTO,STAFF,$H10,FECHA,AF$2),2)</f>
        <v>0</v>
      </c>
      <c r="AG10" s="11" cm="1">
        <f t="array" ref="AG10">ROUND(SUMIFS(PUNTO,STAFF,$H10,FECHA,AG$2),2)</f>
        <v>0</v>
      </c>
      <c r="AH10" s="11" cm="1">
        <f t="array" ref="AH10">ROUND(SUMIFS(PUNTO,STAFF,$H10,FECHA,AH$2),2)</f>
        <v>0</v>
      </c>
      <c r="AI10" s="11" cm="1">
        <f t="array" ref="AI10">ROUND(SUMIFS(PUNTO,STAFF,$H10,FECHA,AI$2),2)</f>
        <v>0</v>
      </c>
      <c r="AJ10" s="11" cm="1">
        <f t="array" ref="AJ10">ROUND(SUMIFS(PUNTO,STAFF,$H10,FECHA,AJ$2),2)</f>
        <v>0</v>
      </c>
      <c r="AK10" s="11" cm="1">
        <f t="array" ref="AK10">ROUND(SUMIFS(PUNTO,STAFF,$H10,FECHA,AK$2),2)</f>
        <v>0</v>
      </c>
      <c r="AL10" s="11" cm="1">
        <f t="array" ref="AL10">ROUND(SUMIFS(PUNTO,STAFF,$H10,FECHA,AL$2),2)</f>
        <v>0</v>
      </c>
      <c r="AM10" s="11" cm="1">
        <f t="array" ref="AM10">ROUND(SUMIFS(PUNTO,STAFF,$H10,FECHA,AM$2),2)</f>
        <v>0</v>
      </c>
      <c r="AN10" s="26">
        <f t="shared" si="1"/>
        <v>21.939999999999998</v>
      </c>
      <c r="AO10" s="26"/>
      <c r="AP10" s="27">
        <f>AN10+AO10</f>
        <v>21.939999999999998</v>
      </c>
      <c r="AQ10" s="26">
        <f t="shared" si="4"/>
        <v>2.194</v>
      </c>
      <c r="AR10" s="26"/>
      <c r="AS10" s="26">
        <f>AN10*$AS$2</f>
        <v>1.097</v>
      </c>
      <c r="AT10" s="26"/>
      <c r="AU10" s="26"/>
      <c r="AV10" s="26"/>
      <c r="AW10" s="26"/>
      <c r="AX10" s="25">
        <f t="shared" si="2"/>
        <v>25.230999999999998</v>
      </c>
    </row>
    <row r="11" spans="1:50" x14ac:dyDescent="0.3">
      <c r="A11" s="4">
        <v>46024</v>
      </c>
      <c r="B11" s="1" t="s">
        <v>28</v>
      </c>
      <c r="C11" s="2">
        <v>0.30069444444444443</v>
      </c>
      <c r="D11" s="2">
        <v>0.43611111111111112</v>
      </c>
      <c r="E11" s="5">
        <f t="shared" si="0"/>
        <v>0.13541666666666669</v>
      </c>
      <c r="F11" s="6">
        <f t="shared" si="3"/>
        <v>0.54</v>
      </c>
      <c r="H11" s="21" t="s">
        <v>29</v>
      </c>
      <c r="I11" s="19" cm="1">
        <f t="array" ref="I11">ROUND(SUMIFS(PUNTO,STAFF,$H11,FECHA,I$2),2)</f>
        <v>0</v>
      </c>
      <c r="J11" s="19" cm="1">
        <f t="array" ref="J11">ROUND(SUMIFS(PUNTO,STAFF,$H11,FECHA,J$2),2)</f>
        <v>0</v>
      </c>
      <c r="K11" s="19" cm="1">
        <f t="array" ref="K11">ROUND(SUMIFS(PUNTO,STAFF,$H11,FECHA,K$2),2)</f>
        <v>0</v>
      </c>
      <c r="L11" s="19" cm="1">
        <f t="array" ref="L11">ROUND(SUMIFS(PUNTO,STAFF,$H11,FECHA,L$2),2)</f>
        <v>0</v>
      </c>
      <c r="M11" s="19" cm="1">
        <f t="array" ref="M11">ROUND(SUMIFS(PUNTO,STAFF,$H11,FECHA,M$2),2)</f>
        <v>3.09</v>
      </c>
      <c r="N11" s="19" cm="1">
        <f t="array" ref="N11">ROUND(SUMIFS(PUNTO,STAFF,$H11,FECHA,N$2),2)</f>
        <v>0</v>
      </c>
      <c r="O11" s="19" cm="1">
        <f t="array" ref="O11">ROUND(SUMIFS(PUNTO,STAFF,$H11,FECHA,O$2),2)</f>
        <v>2.75</v>
      </c>
      <c r="P11" s="19" cm="1">
        <f t="array" ref="P11">ROUND(SUMIFS(PUNTO,STAFF,$H11,FECHA,P$2),2)</f>
        <v>2.0099999999999998</v>
      </c>
      <c r="Q11" s="19" cm="1">
        <f t="array" ref="Q11">ROUND(SUMIFS(PUNTO,STAFF,$H11,FECHA,Q$2),2)</f>
        <v>2.09</v>
      </c>
      <c r="R11" s="19" cm="1">
        <f t="array" ref="R11">ROUND(SUMIFS(PUNTO,STAFF,$H11,FECHA,R$2),2)</f>
        <v>0</v>
      </c>
      <c r="S11" s="19" cm="1">
        <f t="array" ref="S11">ROUND(SUMIFS(PUNTO,STAFF,$H11,FECHA,S$2),2)</f>
        <v>0</v>
      </c>
      <c r="T11" s="19" cm="1">
        <f t="array" ref="T11">ROUND(SUMIFS(PUNTO,STAFF,$H11,FECHA,T$2),2)</f>
        <v>1.63</v>
      </c>
      <c r="U11" s="19" cm="1">
        <f t="array" ref="U11">ROUND(SUMIFS(PUNTO,STAFF,$H11,FECHA,U$2),2)</f>
        <v>0</v>
      </c>
      <c r="V11" s="19" cm="1">
        <f t="array" ref="V11">ROUND(SUMIFS(PUNTO,STAFF,$H11,FECHA,V$2),2)</f>
        <v>1.95</v>
      </c>
      <c r="W11" s="19" cm="1">
        <f t="array" ref="W11">ROUND(SUMIFS(PUNTO,STAFF,$H11,FECHA,W$2),2)</f>
        <v>2.16</v>
      </c>
      <c r="X11" s="19" cm="1">
        <f t="array" ref="X11">ROUND(SUMIFS(PUNTO,STAFF,$H11,FECHA,X$2),2)</f>
        <v>2.5499999999999998</v>
      </c>
      <c r="Y11" s="19" cm="1">
        <f t="array" ref="Y11">ROUND(SUMIFS(PUNTO,STAFF,$H11,FECHA,Y$2),2)</f>
        <v>0</v>
      </c>
      <c r="Z11" s="19" cm="1">
        <f t="array" ref="Z11">ROUND(SUMIFS(PUNTO,STAFF,$H11,FECHA,Z$2),2)</f>
        <v>0</v>
      </c>
      <c r="AA11" s="19" cm="1">
        <f t="array" ref="AA11">ROUND(SUMIFS(PUNTO,STAFF,$H11,FECHA,AA$2),2)</f>
        <v>2.42</v>
      </c>
      <c r="AB11" s="19" cm="1">
        <f t="array" ref="AB11">ROUND(SUMIFS(PUNTO,STAFF,$H11,FECHA,AB$2),2)</f>
        <v>1.63</v>
      </c>
      <c r="AC11" s="19" cm="1">
        <f t="array" ref="AC11">ROUND(SUMIFS(PUNTO,STAFF,$H11,FECHA,AC$2),2)</f>
        <v>0</v>
      </c>
      <c r="AD11" s="19" cm="1">
        <f t="array" ref="AD11">ROUND(SUMIFS(PUNTO,STAFF,$H11,FECHA,AD$2),2)</f>
        <v>2.1</v>
      </c>
      <c r="AE11" s="19" cm="1">
        <f t="array" ref="AE11">ROUND(SUMIFS(PUNTO,STAFF,$H11,FECHA,AE$2),2)</f>
        <v>2.27</v>
      </c>
      <c r="AF11" s="19" cm="1">
        <f t="array" ref="AF11">ROUND(SUMIFS(PUNTO,STAFF,$H11,FECHA,AF$2),2)</f>
        <v>0</v>
      </c>
      <c r="AG11" s="19" cm="1">
        <f t="array" ref="AG11">ROUND(SUMIFS(PUNTO,STAFF,$H11,FECHA,AG$2),2)</f>
        <v>0</v>
      </c>
      <c r="AH11" s="19" cm="1">
        <f t="array" ref="AH11">ROUND(SUMIFS(PUNTO,STAFF,$H11,FECHA,AH$2),2)</f>
        <v>2.17</v>
      </c>
      <c r="AI11" s="19" cm="1">
        <f t="array" ref="AI11">ROUND(SUMIFS(PUNTO,STAFF,$H11,FECHA,AI$2),2)</f>
        <v>1.96</v>
      </c>
      <c r="AJ11" s="19" cm="1">
        <f t="array" ref="AJ11">ROUND(SUMIFS(PUNTO,STAFF,$H11,FECHA,AJ$2),2)</f>
        <v>0.91</v>
      </c>
      <c r="AK11" s="19" cm="1">
        <f t="array" ref="AK11">ROUND(SUMIFS(PUNTO,STAFF,$H11,FECHA,AK$2),2)</f>
        <v>1.86</v>
      </c>
      <c r="AL11" s="19" cm="1">
        <f t="array" ref="AL11">ROUND(SUMIFS(PUNTO,STAFF,$H11,FECHA,AL$2),2)</f>
        <v>1.85</v>
      </c>
      <c r="AM11" s="19" cm="1">
        <f t="array" ref="AM11">ROUND(SUMIFS(PUNTO,STAFF,$H11,FECHA,AM$2),2)</f>
        <v>0</v>
      </c>
      <c r="AN11" s="25">
        <f t="shared" si="1"/>
        <v>35.400000000000006</v>
      </c>
      <c r="AO11" s="25"/>
      <c r="AP11" s="27">
        <f>AN11+AO11</f>
        <v>35.400000000000006</v>
      </c>
      <c r="AQ11" s="25">
        <f t="shared" si="4"/>
        <v>3.5400000000000009</v>
      </c>
      <c r="AR11" s="25"/>
      <c r="AS11" s="25"/>
      <c r="AT11" s="25"/>
      <c r="AU11" s="25"/>
      <c r="AV11" s="25"/>
      <c r="AW11" s="25"/>
      <c r="AX11" s="25">
        <f t="shared" si="2"/>
        <v>38.940000000000005</v>
      </c>
    </row>
    <row r="12" spans="1:50" x14ac:dyDescent="0.3">
      <c r="A12" s="4">
        <v>46024</v>
      </c>
      <c r="B12" s="1" t="s">
        <v>35</v>
      </c>
      <c r="C12" s="2">
        <v>0.30069444444444443</v>
      </c>
      <c r="D12" s="2">
        <v>0.45</v>
      </c>
      <c r="E12" s="5">
        <f t="shared" si="0"/>
        <v>0.14930555555555558</v>
      </c>
      <c r="F12" s="6">
        <f t="shared" si="3"/>
        <v>0.6</v>
      </c>
      <c r="H12" s="24" t="s">
        <v>30</v>
      </c>
      <c r="I12" s="11" cm="1">
        <f t="array" ref="I12">ROUND(SUMIFS(PUNTO,STAFF,$H12,FECHA,I$2),2)</f>
        <v>0</v>
      </c>
      <c r="J12" s="11" cm="1">
        <f t="array" ref="J12">ROUND(SUMIFS(PUNTO,STAFF,$H12,FECHA,J$2),2)</f>
        <v>0</v>
      </c>
      <c r="K12" s="11" cm="1">
        <f t="array" ref="K12">ROUND(SUMIFS(PUNTO,STAFF,$H12,FECHA,K$2),2)</f>
        <v>0</v>
      </c>
      <c r="L12" s="11" cm="1">
        <f t="array" ref="L12">ROUND(SUMIFS(PUNTO,STAFF,$H12,FECHA,L$2),2)</f>
        <v>0</v>
      </c>
      <c r="M12" s="11" cm="1">
        <f t="array" ref="M12">ROUND(SUMIFS(PUNTO,STAFF,$H12,FECHA,M$2),2)</f>
        <v>0</v>
      </c>
      <c r="N12" s="11" cm="1">
        <f t="array" ref="N12">ROUND(SUMIFS(PUNTO,STAFF,$H12,FECHA,N$2),2)</f>
        <v>0</v>
      </c>
      <c r="O12" s="11" cm="1">
        <f t="array" ref="O12">ROUND(SUMIFS(PUNTO,STAFF,$H12,FECHA,O$2),2)</f>
        <v>0</v>
      </c>
      <c r="P12" s="11" cm="1">
        <f t="array" ref="P12">ROUND(SUMIFS(PUNTO,STAFF,$H12,FECHA,P$2),2)</f>
        <v>0</v>
      </c>
      <c r="Q12" s="11" cm="1">
        <f t="array" ref="Q12">ROUND(SUMIFS(PUNTO,STAFF,$H12,FECHA,Q$2),2)</f>
        <v>0</v>
      </c>
      <c r="R12" s="11" cm="1">
        <f t="array" ref="R12">ROUND(SUMIFS(PUNTO,STAFF,$H12,FECHA,R$2),2)</f>
        <v>0</v>
      </c>
      <c r="S12" s="11" cm="1">
        <f t="array" ref="S12">ROUND(SUMIFS(PUNTO,STAFF,$H12,FECHA,S$2),2)</f>
        <v>0</v>
      </c>
      <c r="T12" s="11" cm="1">
        <f t="array" ref="T12">ROUND(SUMIFS(PUNTO,STAFF,$H12,FECHA,T$2),2)</f>
        <v>0</v>
      </c>
      <c r="U12" s="11" cm="1">
        <f t="array" ref="U12">ROUND(SUMIFS(PUNTO,STAFF,$H12,FECHA,U$2),2)</f>
        <v>0</v>
      </c>
      <c r="V12" s="11" cm="1">
        <f t="array" ref="V12">ROUND(SUMIFS(PUNTO,STAFF,$H12,FECHA,V$2),2)</f>
        <v>0</v>
      </c>
      <c r="W12" s="11" cm="1">
        <f t="array" ref="W12">ROUND(SUMIFS(PUNTO,STAFF,$H12,FECHA,W$2),2)</f>
        <v>0</v>
      </c>
      <c r="X12" s="11" cm="1">
        <f t="array" ref="X12">ROUND(SUMIFS(PUNTO,STAFF,$H12,FECHA,X$2),2)</f>
        <v>1.94</v>
      </c>
      <c r="Y12" s="11" cm="1">
        <f t="array" ref="Y12">ROUND(SUMIFS(PUNTO,STAFF,$H12,FECHA,Y$2),2)</f>
        <v>0</v>
      </c>
      <c r="Z12" s="11" cm="1">
        <f t="array" ref="Z12">ROUND(SUMIFS(PUNTO,STAFF,$H12,FECHA,Z$2),2)</f>
        <v>0</v>
      </c>
      <c r="AA12" s="11" cm="1">
        <f t="array" ref="AA12">ROUND(SUMIFS(PUNTO,STAFF,$H12,FECHA,AA$2),2)</f>
        <v>2.0299999999999998</v>
      </c>
      <c r="AB12" s="11" cm="1">
        <f t="array" ref="AB12">ROUND(SUMIFS(PUNTO,STAFF,$H12,FECHA,AB$2),2)</f>
        <v>0</v>
      </c>
      <c r="AC12" s="11" cm="1">
        <f t="array" ref="AC12">ROUND(SUMIFS(PUNTO,STAFF,$H12,FECHA,AC$2),2)</f>
        <v>1.49</v>
      </c>
      <c r="AD12" s="11" cm="1">
        <f t="array" ref="AD12">ROUND(SUMIFS(PUNTO,STAFF,$H12,FECHA,AD$2),2)</f>
        <v>1.88</v>
      </c>
      <c r="AE12" s="11" cm="1">
        <f t="array" ref="AE12">ROUND(SUMIFS(PUNTO,STAFF,$H12,FECHA,AE$2),2)</f>
        <v>0</v>
      </c>
      <c r="AF12" s="11" cm="1">
        <f t="array" ref="AF12">ROUND(SUMIFS(PUNTO,STAFF,$H12,FECHA,AF$2),2)</f>
        <v>1.1200000000000001</v>
      </c>
      <c r="AG12" s="11" cm="1">
        <f t="array" ref="AG12">ROUND(SUMIFS(PUNTO,STAFF,$H12,FECHA,AG$2),2)</f>
        <v>0</v>
      </c>
      <c r="AH12" s="11" cm="1">
        <f t="array" ref="AH12">ROUND(SUMIFS(PUNTO,STAFF,$H12,FECHA,AH$2),2)</f>
        <v>1.93</v>
      </c>
      <c r="AI12" s="11" cm="1">
        <f t="array" ref="AI12">ROUND(SUMIFS(PUNTO,STAFF,$H12,FECHA,AI$2),2)</f>
        <v>0.5</v>
      </c>
      <c r="AJ12" s="11" cm="1">
        <f t="array" ref="AJ12">ROUND(SUMIFS(PUNTO,STAFF,$H12,FECHA,AJ$2),2)</f>
        <v>0</v>
      </c>
      <c r="AK12" s="11" cm="1">
        <f t="array" ref="AK12">ROUND(SUMIFS(PUNTO,STAFF,$H12,FECHA,AK$2),2)</f>
        <v>0.67</v>
      </c>
      <c r="AL12" s="11" cm="1">
        <f t="array" ref="AL12">ROUND(SUMIFS(PUNTO,STAFF,$H12,FECHA,AL$2),2)</f>
        <v>0</v>
      </c>
      <c r="AM12" s="11" cm="1">
        <f t="array" ref="AM12">ROUND(SUMIFS(PUNTO,STAFF,$H12,FECHA,AM$2),2)</f>
        <v>0</v>
      </c>
      <c r="AN12" s="26">
        <f t="shared" si="1"/>
        <v>11.56</v>
      </c>
      <c r="AO12" s="26"/>
      <c r="AP12" s="27">
        <f>AN12+AO12</f>
        <v>11.56</v>
      </c>
      <c r="AQ12" s="26">
        <f t="shared" si="4"/>
        <v>1.1560000000000001</v>
      </c>
      <c r="AR12" s="26"/>
      <c r="AS12" s="26">
        <f>AN12*$AS$2</f>
        <v>0.57800000000000007</v>
      </c>
      <c r="AT12" s="26"/>
      <c r="AU12" s="26"/>
      <c r="AV12" s="26"/>
      <c r="AW12" s="26">
        <v>16.029166666666665</v>
      </c>
      <c r="AX12" s="25">
        <f t="shared" si="2"/>
        <v>29.323166666666665</v>
      </c>
    </row>
    <row r="13" spans="1:50" x14ac:dyDescent="0.3">
      <c r="A13" s="4">
        <v>46024</v>
      </c>
      <c r="B13" s="1" t="s">
        <v>31</v>
      </c>
      <c r="C13" s="2">
        <v>0.30277777777777776</v>
      </c>
      <c r="D13" s="2">
        <v>0.83819444444444446</v>
      </c>
      <c r="E13" s="5">
        <f t="shared" si="0"/>
        <v>0.53541666666666665</v>
      </c>
      <c r="F13" s="6">
        <f t="shared" si="3"/>
        <v>2.14</v>
      </c>
      <c r="H13" s="21" t="s">
        <v>31</v>
      </c>
      <c r="I13" s="19" cm="1">
        <f t="array" ref="I13">ROUND(SUMIFS(PUNTO,STAFF,$H13,FECHA,I$2),2)</f>
        <v>0</v>
      </c>
      <c r="J13" s="19" cm="1">
        <f t="array" ref="J13">ROUND(SUMIFS(PUNTO,STAFF,$H13,FECHA,J$2),2)</f>
        <v>2.14</v>
      </c>
      <c r="K13" s="19" cm="1">
        <f t="array" ref="K13">ROUND(SUMIFS(PUNTO,STAFF,$H13,FECHA,K$2),2)</f>
        <v>0.26</v>
      </c>
      <c r="L13" s="19" cm="1">
        <f t="array" ref="L13">ROUND(SUMIFS(PUNTO,STAFF,$H13,FECHA,L$2),2)</f>
        <v>2.1</v>
      </c>
      <c r="M13" s="19" cm="1">
        <f t="array" ref="M13">ROUND(SUMIFS(PUNTO,STAFF,$H13,FECHA,M$2),2)</f>
        <v>0</v>
      </c>
      <c r="N13" s="19" cm="1">
        <f t="array" ref="N13">ROUND(SUMIFS(PUNTO,STAFF,$H13,FECHA,N$2),2)</f>
        <v>1.43</v>
      </c>
      <c r="O13" s="19" cm="1">
        <f t="array" ref="O13">ROUND(SUMIFS(PUNTO,STAFF,$H13,FECHA,O$2),2)</f>
        <v>0.77</v>
      </c>
      <c r="P13" s="19" cm="1">
        <f t="array" ref="P13">ROUND(SUMIFS(PUNTO,STAFF,$H13,FECHA,P$2),2)</f>
        <v>0</v>
      </c>
      <c r="Q13" s="19" cm="1">
        <f t="array" ref="Q13">ROUND(SUMIFS(PUNTO,STAFF,$H13,FECHA,Q$2),2)</f>
        <v>2.54</v>
      </c>
      <c r="R13" s="19" cm="1">
        <f t="array" ref="R13">ROUND(SUMIFS(PUNTO,STAFF,$H13,FECHA,R$2),2)</f>
        <v>0.91</v>
      </c>
      <c r="S13" s="19" cm="1">
        <f t="array" ref="S13">ROUND(SUMIFS(PUNTO,STAFF,$H13,FECHA,S$2),2)</f>
        <v>2.72</v>
      </c>
      <c r="T13" s="19" cm="1">
        <f t="array" ref="T13">ROUND(SUMIFS(PUNTO,STAFF,$H13,FECHA,T$2),2)</f>
        <v>1.22</v>
      </c>
      <c r="U13" s="19" cm="1">
        <f t="array" ref="U13">ROUND(SUMIFS(PUNTO,STAFF,$H13,FECHA,U$2),2)</f>
        <v>2.2200000000000002</v>
      </c>
      <c r="V13" s="19" cm="1">
        <f t="array" ref="V13">ROUND(SUMIFS(PUNTO,STAFF,$H13,FECHA,V$2),2)</f>
        <v>2.2200000000000002</v>
      </c>
      <c r="W13" s="19" cm="1">
        <f t="array" ref="W13">ROUND(SUMIFS(PUNTO,STAFF,$H13,FECHA,W$2),2)</f>
        <v>0</v>
      </c>
      <c r="X13" s="19" cm="1">
        <f t="array" ref="X13">ROUND(SUMIFS(PUNTO,STAFF,$H13,FECHA,X$2),2)</f>
        <v>2.29</v>
      </c>
      <c r="Y13" s="19" cm="1">
        <f t="array" ref="Y13">ROUND(SUMIFS(PUNTO,STAFF,$H13,FECHA,Y$2),2)</f>
        <v>2.11</v>
      </c>
      <c r="Z13" s="19" cm="1">
        <f t="array" ref="Z13">ROUND(SUMIFS(PUNTO,STAFF,$H13,FECHA,Z$2),2)</f>
        <v>0</v>
      </c>
      <c r="AA13" s="19" cm="1">
        <f t="array" ref="AA13">ROUND(SUMIFS(PUNTO,STAFF,$H13,FECHA,AA$2),2)</f>
        <v>1.84</v>
      </c>
      <c r="AB13" s="19" cm="1">
        <f t="array" ref="AB13">ROUND(SUMIFS(PUNTO,STAFF,$H13,FECHA,AB$2),2)</f>
        <v>1.85</v>
      </c>
      <c r="AC13" s="19" cm="1">
        <f t="array" ref="AC13">ROUND(SUMIFS(PUNTO,STAFF,$H13,FECHA,AC$2),2)</f>
        <v>1.84</v>
      </c>
      <c r="AD13" s="19" cm="1">
        <f t="array" ref="AD13">ROUND(SUMIFS(PUNTO,STAFF,$H13,FECHA,AD$2),2)</f>
        <v>0</v>
      </c>
      <c r="AE13" s="19" cm="1">
        <f t="array" ref="AE13">ROUND(SUMIFS(PUNTO,STAFF,$H13,FECHA,AE$2),2)</f>
        <v>2.33</v>
      </c>
      <c r="AF13" s="19" cm="1">
        <f t="array" ref="AF13">ROUND(SUMIFS(PUNTO,STAFF,$H13,FECHA,AF$2),2)</f>
        <v>2.13</v>
      </c>
      <c r="AG13" s="19" cm="1">
        <f t="array" ref="AG13">ROUND(SUMIFS(PUNTO,STAFF,$H13,FECHA,AG$2),2)</f>
        <v>0</v>
      </c>
      <c r="AH13" s="19" cm="1">
        <f t="array" ref="AH13">ROUND(SUMIFS(PUNTO,STAFF,$H13,FECHA,AH$2),2)</f>
        <v>2</v>
      </c>
      <c r="AI13" s="19" cm="1">
        <f t="array" ref="AI13">ROUND(SUMIFS(PUNTO,STAFF,$H13,FECHA,AI$2),2)</f>
        <v>2.31</v>
      </c>
      <c r="AJ13" s="19" cm="1">
        <f t="array" ref="AJ13">ROUND(SUMIFS(PUNTO,STAFF,$H13,FECHA,AJ$2),2)</f>
        <v>2.54</v>
      </c>
      <c r="AK13" s="19" cm="1">
        <f t="array" ref="AK13">ROUND(SUMIFS(PUNTO,STAFF,$H13,FECHA,AK$2),2)</f>
        <v>0</v>
      </c>
      <c r="AL13" s="19" cm="1">
        <f t="array" ref="AL13">ROUND(SUMIFS(PUNTO,STAFF,$H13,FECHA,AL$2),2)</f>
        <v>2.27</v>
      </c>
      <c r="AM13" s="19" cm="1">
        <f t="array" ref="AM13">ROUND(SUMIFS(PUNTO,STAFF,$H13,FECHA,AM$2),2)</f>
        <v>0.54</v>
      </c>
      <c r="AN13" s="25">
        <f t="shared" si="1"/>
        <v>42.580000000000005</v>
      </c>
      <c r="AO13" s="25"/>
      <c r="AP13" s="27">
        <f>AN13+AO13</f>
        <v>42.580000000000005</v>
      </c>
      <c r="AQ13" s="25">
        <f t="shared" si="4"/>
        <v>4.2580000000000009</v>
      </c>
      <c r="AR13" s="25"/>
      <c r="AS13" s="25"/>
      <c r="AT13" s="25"/>
      <c r="AU13" s="25"/>
      <c r="AV13" s="25"/>
      <c r="AW13" s="25"/>
      <c r="AX13" s="25">
        <f t="shared" si="2"/>
        <v>46.838000000000008</v>
      </c>
    </row>
    <row r="14" spans="1:50" x14ac:dyDescent="0.3">
      <c r="A14" s="4">
        <v>46024</v>
      </c>
      <c r="B14" s="1" t="s">
        <v>5</v>
      </c>
      <c r="C14" s="2">
        <v>0.31111111111111112</v>
      </c>
      <c r="D14" s="2">
        <v>0.77569444444444446</v>
      </c>
      <c r="E14" s="5">
        <f t="shared" si="0"/>
        <v>0.46458333333333335</v>
      </c>
      <c r="F14" s="6">
        <f t="shared" si="3"/>
        <v>1.86</v>
      </c>
      <c r="H14" s="24" t="s">
        <v>32</v>
      </c>
      <c r="I14" s="11" cm="1">
        <f t="array" ref="I14">ROUND(SUMIFS(PUNTO,STAFF,$H14,FECHA,I$2),2)</f>
        <v>0</v>
      </c>
      <c r="J14" s="11" cm="1">
        <f t="array" ref="J14">ROUND(SUMIFS(PUNTO,STAFF,$H14,FECHA,J$2),2)</f>
        <v>0</v>
      </c>
      <c r="K14" s="11" cm="1">
        <f t="array" ref="K14">ROUND(SUMIFS(PUNTO,STAFF,$H14,FECHA,K$2),2)</f>
        <v>0</v>
      </c>
      <c r="L14" s="11" cm="1">
        <f t="array" ref="L14">ROUND(SUMIFS(PUNTO,STAFF,$H14,FECHA,L$2),2)</f>
        <v>0</v>
      </c>
      <c r="M14" s="11" cm="1">
        <f t="array" ref="M14">ROUND(SUMIFS(PUNTO,STAFF,$H14,FECHA,M$2),2)</f>
        <v>0.68</v>
      </c>
      <c r="N14" s="11" cm="1">
        <f t="array" ref="N14">ROUND(SUMIFS(PUNTO,STAFF,$H14,FECHA,N$2),2)</f>
        <v>3.09</v>
      </c>
      <c r="O14" s="11" cm="1">
        <f t="array" ref="O14">ROUND(SUMIFS(PUNTO,STAFF,$H14,FECHA,O$2),2)</f>
        <v>0</v>
      </c>
      <c r="P14" s="11" cm="1">
        <f t="array" ref="P14">ROUND(SUMIFS(PUNTO,STAFF,$H14,FECHA,P$2),2)</f>
        <v>0</v>
      </c>
      <c r="Q14" s="11" cm="1">
        <f t="array" ref="Q14">ROUND(SUMIFS(PUNTO,STAFF,$H14,FECHA,Q$2),2)</f>
        <v>1.96</v>
      </c>
      <c r="R14" s="11" cm="1">
        <f t="array" ref="R14">ROUND(SUMIFS(PUNTO,STAFF,$H14,FECHA,R$2),2)</f>
        <v>0</v>
      </c>
      <c r="S14" s="11" cm="1">
        <f t="array" ref="S14">ROUND(SUMIFS(PUNTO,STAFF,$H14,FECHA,S$2),2)</f>
        <v>1.91</v>
      </c>
      <c r="T14" s="11" cm="1">
        <f t="array" ref="T14">ROUND(SUMIFS(PUNTO,STAFF,$H14,FECHA,T$2),2)</f>
        <v>0</v>
      </c>
      <c r="U14" s="11" cm="1">
        <f t="array" ref="U14">ROUND(SUMIFS(PUNTO,STAFF,$H14,FECHA,U$2),2)</f>
        <v>2.91</v>
      </c>
      <c r="V14" s="11" cm="1">
        <f t="array" ref="V14">ROUND(SUMIFS(PUNTO,STAFF,$H14,FECHA,V$2),2)</f>
        <v>0</v>
      </c>
      <c r="W14" s="11" cm="1">
        <f t="array" ref="W14">ROUND(SUMIFS(PUNTO,STAFF,$H14,FECHA,W$2),2)</f>
        <v>0</v>
      </c>
      <c r="X14" s="11" cm="1">
        <f t="array" ref="X14">ROUND(SUMIFS(PUNTO,STAFF,$H14,FECHA,X$2),2)</f>
        <v>0</v>
      </c>
      <c r="Y14" s="11" cm="1">
        <f t="array" ref="Y14">ROUND(SUMIFS(PUNTO,STAFF,$H14,FECHA,Y$2),2)</f>
        <v>0</v>
      </c>
      <c r="Z14" s="11" cm="1">
        <f t="array" ref="Z14">ROUND(SUMIFS(PUNTO,STAFF,$H14,FECHA,Z$2),2)</f>
        <v>2.16</v>
      </c>
      <c r="AA14" s="11" cm="1">
        <f t="array" ref="AA14">ROUND(SUMIFS(PUNTO,STAFF,$H14,FECHA,AA$2),2)</f>
        <v>2.21</v>
      </c>
      <c r="AB14" s="11" cm="1">
        <f t="array" ref="AB14">ROUND(SUMIFS(PUNTO,STAFF,$H14,FECHA,AB$2),2)</f>
        <v>2.09</v>
      </c>
      <c r="AC14" s="11" cm="1">
        <f t="array" ref="AC14">ROUND(SUMIFS(PUNTO,STAFF,$H14,FECHA,AC$2),2)</f>
        <v>1.93</v>
      </c>
      <c r="AD14" s="11" cm="1">
        <f t="array" ref="AD14">ROUND(SUMIFS(PUNTO,STAFF,$H14,FECHA,AD$2),2)</f>
        <v>0.67</v>
      </c>
      <c r="AE14" s="11" cm="1">
        <f t="array" ref="AE14">ROUND(SUMIFS(PUNTO,STAFF,$H14,FECHA,AE$2),2)</f>
        <v>0.93</v>
      </c>
      <c r="AF14" s="11" cm="1">
        <f t="array" ref="AF14">ROUND(SUMIFS(PUNTO,STAFF,$H14,FECHA,AF$2),2)</f>
        <v>0</v>
      </c>
      <c r="AG14" s="11" cm="1">
        <f t="array" ref="AG14">ROUND(SUMIFS(PUNTO,STAFF,$H14,FECHA,AG$2),2)</f>
        <v>0</v>
      </c>
      <c r="AH14" s="11" cm="1">
        <f t="array" ref="AH14">ROUND(SUMIFS(PUNTO,STAFF,$H14,FECHA,AH$2),2)</f>
        <v>1.86</v>
      </c>
      <c r="AI14" s="11" cm="1">
        <f t="array" ref="AI14">ROUND(SUMIFS(PUNTO,STAFF,$H14,FECHA,AI$2),2)</f>
        <v>3.17</v>
      </c>
      <c r="AJ14" s="11" cm="1">
        <f t="array" ref="AJ14">ROUND(SUMIFS(PUNTO,STAFF,$H14,FECHA,AJ$2),2)</f>
        <v>0</v>
      </c>
      <c r="AK14" s="11" cm="1">
        <f t="array" ref="AK14">ROUND(SUMIFS(PUNTO,STAFF,$H14,FECHA,AK$2),2)</f>
        <v>2.02</v>
      </c>
      <c r="AL14" s="11" cm="1">
        <f t="array" ref="AL14">ROUND(SUMIFS(PUNTO,STAFF,$H14,FECHA,AL$2),2)</f>
        <v>1.53</v>
      </c>
      <c r="AM14" s="11" cm="1">
        <f t="array" ref="AM14">ROUND(SUMIFS(PUNTO,STAFF,$H14,FECHA,AM$2),2)</f>
        <v>0</v>
      </c>
      <c r="AN14" s="26">
        <f t="shared" si="1"/>
        <v>29.12</v>
      </c>
      <c r="AO14" s="26"/>
      <c r="AP14" s="27">
        <f>AN14+AO14</f>
        <v>29.12</v>
      </c>
      <c r="AQ14" s="26">
        <f t="shared" si="4"/>
        <v>2.9120000000000004</v>
      </c>
      <c r="AR14" s="26"/>
      <c r="AS14" s="26"/>
      <c r="AT14" s="26"/>
      <c r="AU14" s="26"/>
      <c r="AV14" s="26"/>
      <c r="AW14" s="26"/>
      <c r="AX14" s="25">
        <f t="shared" si="2"/>
        <v>32.032000000000004</v>
      </c>
    </row>
    <row r="15" spans="1:50" x14ac:dyDescent="0.3">
      <c r="A15" s="4">
        <v>46024</v>
      </c>
      <c r="B15" s="1" t="s">
        <v>39</v>
      </c>
      <c r="C15" s="2">
        <v>0.3125</v>
      </c>
      <c r="D15" s="2">
        <v>0.41319444444444442</v>
      </c>
      <c r="E15" s="5">
        <f t="shared" si="0"/>
        <v>0.10069444444444442</v>
      </c>
      <c r="F15" s="6">
        <f t="shared" si="3"/>
        <v>0.4</v>
      </c>
      <c r="H15" s="21" t="s">
        <v>33</v>
      </c>
      <c r="I15" s="19" cm="1">
        <f t="array" ref="I15">ROUND(SUMIFS(PUNTO,STAFF,$H15,FECHA,I$2),2)</f>
        <v>0</v>
      </c>
      <c r="J15" s="19" cm="1">
        <f t="array" ref="J15">ROUND(SUMIFS(PUNTO,STAFF,$H15,FECHA,J$2),2)</f>
        <v>0</v>
      </c>
      <c r="K15" s="19" cm="1">
        <f t="array" ref="K15">ROUND(SUMIFS(PUNTO,STAFF,$H15,FECHA,K$2),2)</f>
        <v>0.45</v>
      </c>
      <c r="L15" s="19" cm="1">
        <f t="array" ref="L15">ROUND(SUMIFS(PUNTO,STAFF,$H15,FECHA,L$2),2)</f>
        <v>0</v>
      </c>
      <c r="M15" s="19" cm="1">
        <f t="array" ref="M15">ROUND(SUMIFS(PUNTO,STAFF,$H15,FECHA,M$2),2)</f>
        <v>0</v>
      </c>
      <c r="N15" s="19" cm="1">
        <f t="array" ref="N15">ROUND(SUMIFS(PUNTO,STAFF,$H15,FECHA,N$2),2)</f>
        <v>1.84</v>
      </c>
      <c r="O15" s="19" cm="1">
        <f t="array" ref="O15">ROUND(SUMIFS(PUNTO,STAFF,$H15,FECHA,O$2),2)</f>
        <v>0</v>
      </c>
      <c r="P15" s="19" cm="1">
        <f t="array" ref="P15">ROUND(SUMIFS(PUNTO,STAFF,$H15,FECHA,P$2),2)</f>
        <v>1.65</v>
      </c>
      <c r="Q15" s="19" cm="1">
        <f t="array" ref="Q15">ROUND(SUMIFS(PUNTO,STAFF,$H15,FECHA,Q$2),2)</f>
        <v>0</v>
      </c>
      <c r="R15" s="19" cm="1">
        <f t="array" ref="R15">ROUND(SUMIFS(PUNTO,STAFF,$H15,FECHA,R$2),2)</f>
        <v>0.95</v>
      </c>
      <c r="S15" s="19" cm="1">
        <f t="array" ref="S15">ROUND(SUMIFS(PUNTO,STAFF,$H15,FECHA,S$2),2)</f>
        <v>0</v>
      </c>
      <c r="T15" s="19" cm="1">
        <f t="array" ref="T15">ROUND(SUMIFS(PUNTO,STAFF,$H15,FECHA,T$2),2)</f>
        <v>1.59</v>
      </c>
      <c r="U15" s="19" cm="1">
        <f t="array" ref="U15">ROUND(SUMIFS(PUNTO,STAFF,$H15,FECHA,U$2),2)</f>
        <v>2.19</v>
      </c>
      <c r="V15" s="19" cm="1">
        <f t="array" ref="V15">ROUND(SUMIFS(PUNTO,STAFF,$H15,FECHA,V$2),2)</f>
        <v>0</v>
      </c>
      <c r="W15" s="19" cm="1">
        <f t="array" ref="W15">ROUND(SUMIFS(PUNTO,STAFF,$H15,FECHA,W$2),2)</f>
        <v>1.87</v>
      </c>
      <c r="X15" s="19" cm="1">
        <f t="array" ref="X15">ROUND(SUMIFS(PUNTO,STAFF,$H15,FECHA,X$2),2)</f>
        <v>0</v>
      </c>
      <c r="Y15" s="19" cm="1">
        <f t="array" ref="Y15">ROUND(SUMIFS(PUNTO,STAFF,$H15,FECHA,Y$2),2)</f>
        <v>0</v>
      </c>
      <c r="Z15" s="19" cm="1">
        <f t="array" ref="Z15">ROUND(SUMIFS(PUNTO,STAFF,$H15,FECHA,Z$2),2)</f>
        <v>0</v>
      </c>
      <c r="AA15" s="19" cm="1">
        <f t="array" ref="AA15">ROUND(SUMIFS(PUNTO,STAFF,$H15,FECHA,AA$2),2)</f>
        <v>0</v>
      </c>
      <c r="AB15" s="19" cm="1">
        <f t="array" ref="AB15">ROUND(SUMIFS(PUNTO,STAFF,$H15,FECHA,AB$2),2)</f>
        <v>1.67</v>
      </c>
      <c r="AC15" s="19" cm="1">
        <f t="array" ref="AC15">ROUND(SUMIFS(PUNTO,STAFF,$H15,FECHA,AC$2),2)</f>
        <v>0</v>
      </c>
      <c r="AD15" s="19" cm="1">
        <f t="array" ref="AD15">ROUND(SUMIFS(PUNTO,STAFF,$H15,FECHA,AD$2),2)</f>
        <v>1.65</v>
      </c>
      <c r="AE15" s="19" cm="1">
        <f t="array" ref="AE15">ROUND(SUMIFS(PUNTO,STAFF,$H15,FECHA,AE$2),2)</f>
        <v>0</v>
      </c>
      <c r="AF15" s="19" cm="1">
        <f t="array" ref="AF15">ROUND(SUMIFS(PUNTO,STAFF,$H15,FECHA,AF$2),2)</f>
        <v>1.07</v>
      </c>
      <c r="AG15" s="19" cm="1">
        <f t="array" ref="AG15">ROUND(SUMIFS(PUNTO,STAFF,$H15,FECHA,AG$2),2)</f>
        <v>0</v>
      </c>
      <c r="AH15" s="19" cm="1">
        <f t="array" ref="AH15">ROUND(SUMIFS(PUNTO,STAFF,$H15,FECHA,AH$2),2)</f>
        <v>0.49</v>
      </c>
      <c r="AI15" s="19" cm="1">
        <f t="array" ref="AI15">ROUND(SUMIFS(PUNTO,STAFF,$H15,FECHA,AI$2),2)</f>
        <v>2.27</v>
      </c>
      <c r="AJ15" s="19" cm="1">
        <f t="array" ref="AJ15">ROUND(SUMIFS(PUNTO,STAFF,$H15,FECHA,AJ$2),2)</f>
        <v>0</v>
      </c>
      <c r="AK15" s="19" cm="1">
        <f t="array" ref="AK15">ROUND(SUMIFS(PUNTO,STAFF,$H15,FECHA,AK$2),2)</f>
        <v>1.83</v>
      </c>
      <c r="AL15" s="19" cm="1">
        <f t="array" ref="AL15">ROUND(SUMIFS(PUNTO,STAFF,$H15,FECHA,AL$2),2)</f>
        <v>0</v>
      </c>
      <c r="AM15" s="19" cm="1">
        <f t="array" ref="AM15">ROUND(SUMIFS(PUNTO,STAFF,$H15,FECHA,AM$2),2)</f>
        <v>1.1599999999999999</v>
      </c>
      <c r="AN15" s="25">
        <f t="shared" si="1"/>
        <v>20.680000000000003</v>
      </c>
      <c r="AO15" s="25"/>
      <c r="AP15" s="27">
        <f>AN15+AO15</f>
        <v>20.680000000000003</v>
      </c>
      <c r="AQ15" s="25">
        <f t="shared" si="4"/>
        <v>2.0680000000000005</v>
      </c>
      <c r="AR15" s="25"/>
      <c r="AS15" s="25"/>
      <c r="AT15" s="25"/>
      <c r="AU15" s="25"/>
      <c r="AV15" s="25"/>
      <c r="AW15" s="25"/>
      <c r="AX15" s="25">
        <f t="shared" si="2"/>
        <v>22.748000000000005</v>
      </c>
    </row>
    <row r="16" spans="1:50" x14ac:dyDescent="0.3">
      <c r="A16" s="4">
        <v>46024</v>
      </c>
      <c r="B16" s="1" t="s">
        <v>50</v>
      </c>
      <c r="C16" s="2">
        <v>0.31944444444444442</v>
      </c>
      <c r="D16" s="2">
        <v>0.79791666666666672</v>
      </c>
      <c r="E16" s="5">
        <f t="shared" si="0"/>
        <v>0.4784722222222223</v>
      </c>
      <c r="F16" s="6">
        <f t="shared" si="3"/>
        <v>1.91</v>
      </c>
      <c r="H16" s="24" t="s">
        <v>34</v>
      </c>
      <c r="I16" s="11" cm="1">
        <f t="array" ref="I16">ROUND(SUMIFS(PUNTO,STAFF,$H16,FECHA,I$2),2)</f>
        <v>0</v>
      </c>
      <c r="J16" s="11" cm="1">
        <f t="array" ref="J16">ROUND(SUMIFS(PUNTO,STAFF,$H16,FECHA,J$2),2)</f>
        <v>0.36</v>
      </c>
      <c r="K16" s="11" cm="1">
        <f t="array" ref="K16">ROUND(SUMIFS(PUNTO,STAFF,$H16,FECHA,K$2),2)</f>
        <v>0</v>
      </c>
      <c r="L16" s="11" cm="1">
        <f t="array" ref="L16">ROUND(SUMIFS(PUNTO,STAFF,$H16,FECHA,L$2),2)</f>
        <v>0</v>
      </c>
      <c r="M16" s="11" cm="1">
        <f t="array" ref="M16">ROUND(SUMIFS(PUNTO,STAFF,$H16,FECHA,M$2),2)</f>
        <v>0</v>
      </c>
      <c r="N16" s="11" cm="1">
        <f t="array" ref="N16">ROUND(SUMIFS(PUNTO,STAFF,$H16,FECHA,N$2),2)</f>
        <v>1.9</v>
      </c>
      <c r="O16" s="11" cm="1">
        <f t="array" ref="O16">ROUND(SUMIFS(PUNTO,STAFF,$H16,FECHA,O$2),2)</f>
        <v>0</v>
      </c>
      <c r="P16" s="11" cm="1">
        <f t="array" ref="P16">ROUND(SUMIFS(PUNTO,STAFF,$H16,FECHA,P$2),2)</f>
        <v>2.06</v>
      </c>
      <c r="Q16" s="11" cm="1">
        <f t="array" ref="Q16">ROUND(SUMIFS(PUNTO,STAFF,$H16,FECHA,Q$2),2)</f>
        <v>0.87</v>
      </c>
      <c r="R16" s="11" cm="1">
        <f t="array" ref="R16">ROUND(SUMIFS(PUNTO,STAFF,$H16,FECHA,R$2),2)</f>
        <v>1.35</v>
      </c>
      <c r="S16" s="11" cm="1">
        <f t="array" ref="S16">ROUND(SUMIFS(PUNTO,STAFF,$H16,FECHA,S$2),2)</f>
        <v>0</v>
      </c>
      <c r="T16" s="11" cm="1">
        <f t="array" ref="T16">ROUND(SUMIFS(PUNTO,STAFF,$H16,FECHA,T$2),2)</f>
        <v>0</v>
      </c>
      <c r="U16" s="11" cm="1">
        <f t="array" ref="U16">ROUND(SUMIFS(PUNTO,STAFF,$H16,FECHA,U$2),2)</f>
        <v>2</v>
      </c>
      <c r="V16" s="11" cm="1">
        <f t="array" ref="V16">ROUND(SUMIFS(PUNTO,STAFF,$H16,FECHA,V$2),2)</f>
        <v>0</v>
      </c>
      <c r="W16" s="11" cm="1">
        <f t="array" ref="W16">ROUND(SUMIFS(PUNTO,STAFF,$H16,FECHA,W$2),2)</f>
        <v>2.0299999999999998</v>
      </c>
      <c r="X16" s="11" cm="1">
        <f t="array" ref="X16">ROUND(SUMIFS(PUNTO,STAFF,$H16,FECHA,X$2),2)</f>
        <v>2.0699999999999998</v>
      </c>
      <c r="Y16" s="11" cm="1">
        <f t="array" ref="Y16">ROUND(SUMIFS(PUNTO,STAFF,$H16,FECHA,Y$2),2)</f>
        <v>0.87</v>
      </c>
      <c r="Z16" s="11" cm="1">
        <f t="array" ref="Z16">ROUND(SUMIFS(PUNTO,STAFF,$H16,FECHA,Z$2),2)</f>
        <v>0</v>
      </c>
      <c r="AA16" s="11" cm="1">
        <f t="array" ref="AA16">ROUND(SUMIFS(PUNTO,STAFF,$H16,FECHA,AA$2),2)</f>
        <v>0</v>
      </c>
      <c r="AB16" s="11" cm="1">
        <f t="array" ref="AB16">ROUND(SUMIFS(PUNTO,STAFF,$H16,FECHA,AB$2),2)</f>
        <v>1.72</v>
      </c>
      <c r="AC16" s="11" cm="1">
        <f t="array" ref="AC16">ROUND(SUMIFS(PUNTO,STAFF,$H16,FECHA,AC$2),2)</f>
        <v>0</v>
      </c>
      <c r="AD16" s="11" cm="1">
        <f t="array" ref="AD16">ROUND(SUMIFS(PUNTO,STAFF,$H16,FECHA,AD$2),2)</f>
        <v>1.8</v>
      </c>
      <c r="AE16" s="11" cm="1">
        <f t="array" ref="AE16">ROUND(SUMIFS(PUNTO,STAFF,$H16,FECHA,AE$2),2)</f>
        <v>2.14</v>
      </c>
      <c r="AF16" s="11" cm="1">
        <f t="array" ref="AF16">ROUND(SUMIFS(PUNTO,STAFF,$H16,FECHA,AF$2),2)</f>
        <v>0</v>
      </c>
      <c r="AG16" s="11" cm="1">
        <f t="array" ref="AG16">ROUND(SUMIFS(PUNTO,STAFF,$H16,FECHA,AG$2),2)</f>
        <v>0</v>
      </c>
      <c r="AH16" s="11" cm="1">
        <f t="array" ref="AH16">ROUND(SUMIFS(PUNTO,STAFF,$H16,FECHA,AH$2),2)</f>
        <v>0</v>
      </c>
      <c r="AI16" s="11" cm="1">
        <f t="array" ref="AI16">ROUND(SUMIFS(PUNTO,STAFF,$H16,FECHA,AI$2),2)</f>
        <v>2.0299999999999998</v>
      </c>
      <c r="AJ16" s="11" cm="1">
        <f t="array" ref="AJ16">ROUND(SUMIFS(PUNTO,STAFF,$H16,FECHA,AJ$2),2)</f>
        <v>0</v>
      </c>
      <c r="AK16" s="11" cm="1">
        <f t="array" ref="AK16">ROUND(SUMIFS(PUNTO,STAFF,$H16,FECHA,AK$2),2)</f>
        <v>1.96</v>
      </c>
      <c r="AL16" s="11" cm="1">
        <f t="array" ref="AL16">ROUND(SUMIFS(PUNTO,STAFF,$H16,FECHA,AL$2),2)</f>
        <v>2.1</v>
      </c>
      <c r="AM16" s="11" cm="1">
        <f t="array" ref="AM16">ROUND(SUMIFS(PUNTO,STAFF,$H16,FECHA,AM$2),2)</f>
        <v>0</v>
      </c>
      <c r="AN16" s="26">
        <f t="shared" si="1"/>
        <v>25.260000000000005</v>
      </c>
      <c r="AO16" s="26"/>
      <c r="AP16" s="27">
        <f>AN16+AO16</f>
        <v>25.260000000000005</v>
      </c>
      <c r="AQ16" s="26">
        <f t="shared" si="4"/>
        <v>2.5260000000000007</v>
      </c>
      <c r="AR16" s="26">
        <f>AN16*$AR$2</f>
        <v>2.5260000000000007</v>
      </c>
      <c r="AS16" s="26"/>
      <c r="AT16" s="26">
        <f>AT2*AN16</f>
        <v>1.2630000000000003</v>
      </c>
      <c r="AU16" s="26">
        <f>AN16*$AU$2</f>
        <v>1.2630000000000003</v>
      </c>
      <c r="AV16" s="26"/>
      <c r="AW16" s="26"/>
      <c r="AX16" s="25">
        <f t="shared" si="2"/>
        <v>32.838000000000008</v>
      </c>
    </row>
    <row r="17" spans="1:50" x14ac:dyDescent="0.3">
      <c r="A17" s="4">
        <v>46024</v>
      </c>
      <c r="B17" s="1" t="s">
        <v>23</v>
      </c>
      <c r="C17" s="2">
        <v>0.33333333333333331</v>
      </c>
      <c r="D17" s="2">
        <v>0.79861111111111116</v>
      </c>
      <c r="E17" s="5">
        <f t="shared" si="0"/>
        <v>0.46527777777777785</v>
      </c>
      <c r="F17" s="6">
        <f t="shared" si="3"/>
        <v>1.86</v>
      </c>
      <c r="H17" s="21" t="s">
        <v>35</v>
      </c>
      <c r="I17" s="19" cm="1">
        <f t="array" ref="I17">ROUND(SUMIFS(PUNTO,STAFF,$H17,FECHA,I$2),2)</f>
        <v>0</v>
      </c>
      <c r="J17" s="19" cm="1">
        <f t="array" ref="J17">ROUND(SUMIFS(PUNTO,STAFF,$H17,FECHA,J$2),2)</f>
        <v>0.6</v>
      </c>
      <c r="K17" s="19" cm="1">
        <f t="array" ref="K17">ROUND(SUMIFS(PUNTO,STAFF,$H17,FECHA,K$2),2)</f>
        <v>0</v>
      </c>
      <c r="L17" s="19" cm="1">
        <f t="array" ref="L17">ROUND(SUMIFS(PUNTO,STAFF,$H17,FECHA,L$2),2)</f>
        <v>0</v>
      </c>
      <c r="M17" s="19" cm="1">
        <f t="array" ref="M17">ROUND(SUMIFS(PUNTO,STAFF,$H17,FECHA,M$2),2)</f>
        <v>1.76</v>
      </c>
      <c r="N17" s="19" cm="1">
        <f t="array" ref="N17">ROUND(SUMIFS(PUNTO,STAFF,$H17,FECHA,N$2),2)</f>
        <v>2.0699999999999998</v>
      </c>
      <c r="O17" s="19" cm="1">
        <f t="array" ref="O17">ROUND(SUMIFS(PUNTO,STAFF,$H17,FECHA,O$2),2)</f>
        <v>2.9</v>
      </c>
      <c r="P17" s="19" cm="1">
        <f t="array" ref="P17">ROUND(SUMIFS(PUNTO,STAFF,$H17,FECHA,P$2),2)</f>
        <v>0</v>
      </c>
      <c r="Q17" s="19" cm="1">
        <f t="array" ref="Q17">ROUND(SUMIFS(PUNTO,STAFF,$H17,FECHA,Q$2),2)</f>
        <v>1.83</v>
      </c>
      <c r="R17" s="19" cm="1">
        <f t="array" ref="R17">ROUND(SUMIFS(PUNTO,STAFF,$H17,FECHA,R$2),2)</f>
        <v>0</v>
      </c>
      <c r="S17" s="19" cm="1">
        <f t="array" ref="S17">ROUND(SUMIFS(PUNTO,STAFF,$H17,FECHA,S$2),2)</f>
        <v>0</v>
      </c>
      <c r="T17" s="19" cm="1">
        <f t="array" ref="T17">ROUND(SUMIFS(PUNTO,STAFF,$H17,FECHA,T$2),2)</f>
        <v>0</v>
      </c>
      <c r="U17" s="19" cm="1">
        <f t="array" ref="U17">ROUND(SUMIFS(PUNTO,STAFF,$H17,FECHA,U$2),2)</f>
        <v>2.0299999999999998</v>
      </c>
      <c r="V17" s="19" cm="1">
        <f t="array" ref="V17">ROUND(SUMIFS(PUNTO,STAFF,$H17,FECHA,V$2),2)</f>
        <v>2.57</v>
      </c>
      <c r="W17" s="19" cm="1">
        <f t="array" ref="W17">ROUND(SUMIFS(PUNTO,STAFF,$H17,FECHA,W$2),2)</f>
        <v>0</v>
      </c>
      <c r="X17" s="19" cm="1">
        <f t="array" ref="X17">ROUND(SUMIFS(PUNTO,STAFF,$H17,FECHA,X$2),2)</f>
        <v>2.06</v>
      </c>
      <c r="Y17" s="19" cm="1">
        <f t="array" ref="Y17">ROUND(SUMIFS(PUNTO,STAFF,$H17,FECHA,Y$2),2)</f>
        <v>0</v>
      </c>
      <c r="Z17" s="19" cm="1">
        <f t="array" ref="Z17">ROUND(SUMIFS(PUNTO,STAFF,$H17,FECHA,Z$2),2)</f>
        <v>0</v>
      </c>
      <c r="AA17" s="19" cm="1">
        <f t="array" ref="AA17">ROUND(SUMIFS(PUNTO,STAFF,$H17,FECHA,AA$2),2)</f>
        <v>1.95</v>
      </c>
      <c r="AB17" s="19" cm="1">
        <f t="array" ref="AB17">ROUND(SUMIFS(PUNTO,STAFF,$H17,FECHA,AB$2),2)</f>
        <v>1.25</v>
      </c>
      <c r="AC17" s="19" cm="1">
        <f t="array" ref="AC17">ROUND(SUMIFS(PUNTO,STAFF,$H17,FECHA,AC$2),2)</f>
        <v>2.56</v>
      </c>
      <c r="AD17" s="19" cm="1">
        <f t="array" ref="AD17">ROUND(SUMIFS(PUNTO,STAFF,$H17,FECHA,AD$2),2)</f>
        <v>1.87</v>
      </c>
      <c r="AE17" s="19" cm="1">
        <f t="array" ref="AE17">ROUND(SUMIFS(PUNTO,STAFF,$H17,FECHA,AE$2),2)</f>
        <v>1.86</v>
      </c>
      <c r="AF17" s="19" cm="1">
        <f t="array" ref="AF17">ROUND(SUMIFS(PUNTO,STAFF,$H17,FECHA,AF$2),2)</f>
        <v>0</v>
      </c>
      <c r="AG17" s="19" cm="1">
        <f t="array" ref="AG17">ROUND(SUMIFS(PUNTO,STAFF,$H17,FECHA,AG$2),2)</f>
        <v>0</v>
      </c>
      <c r="AH17" s="19" cm="1">
        <f t="array" ref="AH17">ROUND(SUMIFS(PUNTO,STAFF,$H17,FECHA,AH$2),2)</f>
        <v>1.96</v>
      </c>
      <c r="AI17" s="19" cm="1">
        <f t="array" ref="AI17">ROUND(SUMIFS(PUNTO,STAFF,$H17,FECHA,AI$2),2)</f>
        <v>2.41</v>
      </c>
      <c r="AJ17" s="19" cm="1">
        <f t="array" ref="AJ17">ROUND(SUMIFS(PUNTO,STAFF,$H17,FECHA,AJ$2),2)</f>
        <v>2.71</v>
      </c>
      <c r="AK17" s="19" cm="1">
        <f t="array" ref="AK17">ROUND(SUMIFS(PUNTO,STAFF,$H17,FECHA,AK$2),2)</f>
        <v>1.62</v>
      </c>
      <c r="AL17" s="19" cm="1">
        <f t="array" ref="AL17">ROUND(SUMIFS(PUNTO,STAFF,$H17,FECHA,AL$2),2)</f>
        <v>2.11</v>
      </c>
      <c r="AM17" s="19" cm="1">
        <f t="array" ref="AM17">ROUND(SUMIFS(PUNTO,STAFF,$H17,FECHA,AM$2),2)</f>
        <v>2.1800000000000002</v>
      </c>
      <c r="AN17" s="25">
        <f t="shared" si="1"/>
        <v>38.299999999999997</v>
      </c>
      <c r="AO17" s="25">
        <v>0.49</v>
      </c>
      <c r="AP17" s="27">
        <f>AN17+AO17</f>
        <v>38.79</v>
      </c>
      <c r="AQ17" s="25">
        <f t="shared" si="4"/>
        <v>3.879</v>
      </c>
      <c r="AR17" s="25"/>
      <c r="AS17" s="25"/>
      <c r="AT17" s="25"/>
      <c r="AU17" s="25"/>
      <c r="AV17" s="25"/>
      <c r="AW17" s="25"/>
      <c r="AX17" s="25">
        <f t="shared" si="2"/>
        <v>42.668999999999997</v>
      </c>
    </row>
    <row r="18" spans="1:50" x14ac:dyDescent="0.3">
      <c r="A18" s="4">
        <v>46024</v>
      </c>
      <c r="B18" s="1" t="s">
        <v>39</v>
      </c>
      <c r="C18" s="2">
        <v>0.62916666666666665</v>
      </c>
      <c r="D18" s="2">
        <v>0.78194444444444444</v>
      </c>
      <c r="E18" s="5">
        <f t="shared" si="0"/>
        <v>0.15277777777777779</v>
      </c>
      <c r="F18" s="6">
        <f t="shared" si="3"/>
        <v>0.61</v>
      </c>
      <c r="H18" s="24" t="s">
        <v>36</v>
      </c>
      <c r="I18" s="11" cm="1">
        <f t="array" ref="I18">ROUND(SUMIFS(PUNTO,STAFF,$H18,FECHA,I$2),2)</f>
        <v>0</v>
      </c>
      <c r="J18" s="11" cm="1">
        <f t="array" ref="J18">ROUND(SUMIFS(PUNTO,STAFF,$H18,FECHA,J$2),2)</f>
        <v>0</v>
      </c>
      <c r="K18" s="11" cm="1">
        <f t="array" ref="K18">ROUND(SUMIFS(PUNTO,STAFF,$H18,FECHA,K$2),2)</f>
        <v>0.21</v>
      </c>
      <c r="L18" s="11" cm="1">
        <f t="array" ref="L18">ROUND(SUMIFS(PUNTO,STAFF,$H18,FECHA,L$2),2)</f>
        <v>0</v>
      </c>
      <c r="M18" s="11" cm="1">
        <f t="array" ref="M18">ROUND(SUMIFS(PUNTO,STAFF,$H18,FECHA,M$2),2)</f>
        <v>0</v>
      </c>
      <c r="N18" s="11" cm="1">
        <f t="array" ref="N18">ROUND(SUMIFS(PUNTO,STAFF,$H18,FECHA,N$2),2)</f>
        <v>2.06</v>
      </c>
      <c r="O18" s="11" cm="1">
        <f t="array" ref="O18">ROUND(SUMIFS(PUNTO,STAFF,$H18,FECHA,O$2),2)</f>
        <v>0</v>
      </c>
      <c r="P18" s="11" cm="1">
        <f t="array" ref="P18">ROUND(SUMIFS(PUNTO,STAFF,$H18,FECHA,P$2),2)</f>
        <v>2.12</v>
      </c>
      <c r="Q18" s="11" cm="1">
        <f t="array" ref="Q18">ROUND(SUMIFS(PUNTO,STAFF,$H18,FECHA,Q$2),2)</f>
        <v>0</v>
      </c>
      <c r="R18" s="11" cm="1">
        <f t="array" ref="R18">ROUND(SUMIFS(PUNTO,STAFF,$H18,FECHA,R$2),2)</f>
        <v>0</v>
      </c>
      <c r="S18" s="11" cm="1">
        <f t="array" ref="S18">ROUND(SUMIFS(PUNTO,STAFF,$H18,FECHA,S$2),2)</f>
        <v>0</v>
      </c>
      <c r="T18" s="11" cm="1">
        <f t="array" ref="T18">ROUND(SUMIFS(PUNTO,STAFF,$H18,FECHA,T$2),2)</f>
        <v>0</v>
      </c>
      <c r="U18" s="11" cm="1">
        <f t="array" ref="U18">ROUND(SUMIFS(PUNTO,STAFF,$H18,FECHA,U$2),2)</f>
        <v>2</v>
      </c>
      <c r="V18" s="11" cm="1">
        <f t="array" ref="V18">ROUND(SUMIFS(PUNTO,STAFF,$H18,FECHA,V$2),2)</f>
        <v>0</v>
      </c>
      <c r="W18" s="11" cm="1">
        <f t="array" ref="W18">ROUND(SUMIFS(PUNTO,STAFF,$H18,FECHA,W$2),2)</f>
        <v>1.94</v>
      </c>
      <c r="X18" s="11" cm="1">
        <f t="array" ref="X18">ROUND(SUMIFS(PUNTO,STAFF,$H18,FECHA,X$2),2)</f>
        <v>0</v>
      </c>
      <c r="Y18" s="11" cm="1">
        <f t="array" ref="Y18">ROUND(SUMIFS(PUNTO,STAFF,$H18,FECHA,Y$2),2)</f>
        <v>1.78</v>
      </c>
      <c r="Z18" s="11" cm="1">
        <f t="array" ref="Z18">ROUND(SUMIFS(PUNTO,STAFF,$H18,FECHA,Z$2),2)</f>
        <v>0</v>
      </c>
      <c r="AA18" s="11" cm="1">
        <f t="array" ref="AA18">ROUND(SUMIFS(PUNTO,STAFF,$H18,FECHA,AA$2),2)</f>
        <v>0</v>
      </c>
      <c r="AB18" s="11" cm="1">
        <f t="array" ref="AB18">ROUND(SUMIFS(PUNTO,STAFF,$H18,FECHA,AB$2),2)</f>
        <v>1.55</v>
      </c>
      <c r="AC18" s="11" cm="1">
        <f t="array" ref="AC18">ROUND(SUMIFS(PUNTO,STAFF,$H18,FECHA,AC$2),2)</f>
        <v>0</v>
      </c>
      <c r="AD18" s="11" cm="1">
        <f t="array" ref="AD18">ROUND(SUMIFS(PUNTO,STAFF,$H18,FECHA,AD$2),2)</f>
        <v>2.4700000000000002</v>
      </c>
      <c r="AE18" s="11" cm="1">
        <f t="array" ref="AE18">ROUND(SUMIFS(PUNTO,STAFF,$H18,FECHA,AE$2),2)</f>
        <v>0</v>
      </c>
      <c r="AF18" s="11" cm="1">
        <f t="array" ref="AF18">ROUND(SUMIFS(PUNTO,STAFF,$H18,FECHA,AF$2),2)</f>
        <v>0</v>
      </c>
      <c r="AG18" s="11" cm="1">
        <f t="array" ref="AG18">ROUND(SUMIFS(PUNTO,STAFF,$H18,FECHA,AG$2),2)</f>
        <v>0</v>
      </c>
      <c r="AH18" s="11" cm="1">
        <f t="array" ref="AH18">ROUND(SUMIFS(PUNTO,STAFF,$H18,FECHA,AH$2),2)</f>
        <v>0</v>
      </c>
      <c r="AI18" s="11" cm="1">
        <f t="array" ref="AI18">ROUND(SUMIFS(PUNTO,STAFF,$H18,FECHA,AI$2),2)</f>
        <v>2.06</v>
      </c>
      <c r="AJ18" s="11" cm="1">
        <f t="array" ref="AJ18">ROUND(SUMIFS(PUNTO,STAFF,$H18,FECHA,AJ$2),2)</f>
        <v>0</v>
      </c>
      <c r="AK18" s="11" cm="1">
        <f t="array" ref="AK18">ROUND(SUMIFS(PUNTO,STAFF,$H18,FECHA,AK$2),2)</f>
        <v>2.3199999999999998</v>
      </c>
      <c r="AL18" s="11" cm="1">
        <f t="array" ref="AL18">ROUND(SUMIFS(PUNTO,STAFF,$H18,FECHA,AL$2),2)</f>
        <v>0</v>
      </c>
      <c r="AM18" s="11" cm="1">
        <f t="array" ref="AM18">ROUND(SUMIFS(PUNTO,STAFF,$H18,FECHA,AM$2),2)</f>
        <v>0.43</v>
      </c>
      <c r="AN18" s="26">
        <f t="shared" si="1"/>
        <v>18.940000000000001</v>
      </c>
      <c r="AO18" s="26"/>
      <c r="AP18" s="27">
        <f>AN18+AO18</f>
        <v>18.940000000000001</v>
      </c>
      <c r="AQ18" s="26"/>
      <c r="AR18" s="26">
        <f>AN18*$AR$2</f>
        <v>1.8940000000000001</v>
      </c>
      <c r="AS18" s="26"/>
      <c r="AT18" s="26">
        <f>AT2*AN18</f>
        <v>0.94700000000000006</v>
      </c>
      <c r="AU18" s="26">
        <f>AN18*$AU$2</f>
        <v>0.94700000000000006</v>
      </c>
      <c r="AV18" s="26"/>
      <c r="AW18" s="26"/>
      <c r="AX18" s="25">
        <f t="shared" si="2"/>
        <v>22.728000000000002</v>
      </c>
    </row>
    <row r="19" spans="1:50" x14ac:dyDescent="0.3">
      <c r="A19" s="4">
        <v>46024</v>
      </c>
      <c r="B19" s="1" t="s">
        <v>40</v>
      </c>
      <c r="C19" s="2">
        <v>46024.790277777778</v>
      </c>
      <c r="D19" s="2">
        <v>46025.290972222225</v>
      </c>
      <c r="E19" s="5">
        <f t="shared" si="0"/>
        <v>0.50069444444670808</v>
      </c>
      <c r="F19" s="6">
        <f t="shared" si="3"/>
        <v>2</v>
      </c>
      <c r="H19" s="21" t="s">
        <v>37</v>
      </c>
      <c r="I19" s="19" cm="1">
        <f t="array" ref="I19">ROUND(SUMIFS(PUNTO,STAFF,$H19,FECHA,I$2),2)</f>
        <v>0</v>
      </c>
      <c r="J19" s="19" cm="1">
        <f t="array" ref="J19">ROUND(SUMIFS(PUNTO,STAFF,$H19,FECHA,J$2),2)</f>
        <v>0</v>
      </c>
      <c r="K19" s="19" cm="1">
        <f t="array" ref="K19">ROUND(SUMIFS(PUNTO,STAFF,$H19,FECHA,K$2),2)</f>
        <v>0</v>
      </c>
      <c r="L19" s="19" cm="1">
        <f t="array" ref="L19">ROUND(SUMIFS(PUNTO,STAFF,$H19,FECHA,L$2),2)</f>
        <v>2.02</v>
      </c>
      <c r="M19" s="19" cm="1">
        <f t="array" ref="M19">ROUND(SUMIFS(PUNTO,STAFF,$H19,FECHA,M$2),2)</f>
        <v>0</v>
      </c>
      <c r="N19" s="19" cm="1">
        <f t="array" ref="N19">ROUND(SUMIFS(PUNTO,STAFF,$H19,FECHA,N$2),2)</f>
        <v>0</v>
      </c>
      <c r="O19" s="19" cm="1">
        <f t="array" ref="O19">ROUND(SUMIFS(PUNTO,STAFF,$H19,FECHA,O$2),2)</f>
        <v>2.09</v>
      </c>
      <c r="P19" s="19" cm="1">
        <f t="array" ref="P19">ROUND(SUMIFS(PUNTO,STAFF,$H19,FECHA,P$2),2)</f>
        <v>0</v>
      </c>
      <c r="Q19" s="19" cm="1">
        <f t="array" ref="Q19">ROUND(SUMIFS(PUNTO,STAFF,$H19,FECHA,Q$2),2)</f>
        <v>1.89</v>
      </c>
      <c r="R19" s="19" cm="1">
        <f t="array" ref="R19">ROUND(SUMIFS(PUNTO,STAFF,$H19,FECHA,R$2),2)</f>
        <v>0</v>
      </c>
      <c r="S19" s="19" cm="1">
        <f t="array" ref="S19">ROUND(SUMIFS(PUNTO,STAFF,$H19,FECHA,S$2),2)</f>
        <v>0</v>
      </c>
      <c r="T19" s="19" cm="1">
        <f t="array" ref="T19">ROUND(SUMIFS(PUNTO,STAFF,$H19,FECHA,T$2),2)</f>
        <v>2.2000000000000002</v>
      </c>
      <c r="U19" s="19" cm="1">
        <f t="array" ref="U19">ROUND(SUMIFS(PUNTO,STAFF,$H19,FECHA,U$2),2)</f>
        <v>0</v>
      </c>
      <c r="V19" s="19" cm="1">
        <f t="array" ref="V19">ROUND(SUMIFS(PUNTO,STAFF,$H19,FECHA,V$2),2)</f>
        <v>2.02</v>
      </c>
      <c r="W19" s="19" cm="1">
        <f t="array" ref="W19">ROUND(SUMIFS(PUNTO,STAFF,$H19,FECHA,W$2),2)</f>
        <v>0</v>
      </c>
      <c r="X19" s="19" cm="1">
        <f t="array" ref="X19">ROUND(SUMIFS(PUNTO,STAFF,$H19,FECHA,X$2),2)</f>
        <v>0.51</v>
      </c>
      <c r="Y19" s="19" cm="1">
        <f t="array" ref="Y19">ROUND(SUMIFS(PUNTO,STAFF,$H19,FECHA,Y$2),2)</f>
        <v>0</v>
      </c>
      <c r="Z19" s="19" cm="1">
        <f t="array" ref="Z19">ROUND(SUMIFS(PUNTO,STAFF,$H19,FECHA,Z$2),2)</f>
        <v>0</v>
      </c>
      <c r="AA19" s="19" cm="1">
        <f t="array" ref="AA19">ROUND(SUMIFS(PUNTO,STAFF,$H19,FECHA,AA$2),2)</f>
        <v>1.6</v>
      </c>
      <c r="AB19" s="19" cm="1">
        <f t="array" ref="AB19">ROUND(SUMIFS(PUNTO,STAFF,$H19,FECHA,AB$2),2)</f>
        <v>0</v>
      </c>
      <c r="AC19" s="19" cm="1">
        <f t="array" ref="AC19">ROUND(SUMIFS(PUNTO,STAFF,$H19,FECHA,AC$2),2)</f>
        <v>1.7</v>
      </c>
      <c r="AD19" s="19" cm="1">
        <f t="array" ref="AD19">ROUND(SUMIFS(PUNTO,STAFF,$H19,FECHA,AD$2),2)</f>
        <v>0</v>
      </c>
      <c r="AE19" s="19" cm="1">
        <f t="array" ref="AE19">ROUND(SUMIFS(PUNTO,STAFF,$H19,FECHA,AE$2),2)</f>
        <v>1.33</v>
      </c>
      <c r="AF19" s="19" cm="1">
        <f t="array" ref="AF19">ROUND(SUMIFS(PUNTO,STAFF,$H19,FECHA,AF$2),2)</f>
        <v>0</v>
      </c>
      <c r="AG19" s="19" cm="1">
        <f t="array" ref="AG19">ROUND(SUMIFS(PUNTO,STAFF,$H19,FECHA,AG$2),2)</f>
        <v>0</v>
      </c>
      <c r="AH19" s="19" cm="1">
        <f t="array" ref="AH19">ROUND(SUMIFS(PUNTO,STAFF,$H19,FECHA,AH$2),2)</f>
        <v>0</v>
      </c>
      <c r="AI19" s="19" cm="1">
        <f t="array" ref="AI19">ROUND(SUMIFS(PUNTO,STAFF,$H19,FECHA,AI$2),2)</f>
        <v>0</v>
      </c>
      <c r="AJ19" s="19" cm="1">
        <f t="array" ref="AJ19">ROUND(SUMIFS(PUNTO,STAFF,$H19,FECHA,AJ$2),2)</f>
        <v>0</v>
      </c>
      <c r="AK19" s="19" cm="1">
        <f t="array" ref="AK19">ROUND(SUMIFS(PUNTO,STAFF,$H19,FECHA,AK$2),2)</f>
        <v>0</v>
      </c>
      <c r="AL19" s="19" cm="1">
        <f t="array" ref="AL19">ROUND(SUMIFS(PUNTO,STAFF,$H19,FECHA,AL$2),2)</f>
        <v>2.04</v>
      </c>
      <c r="AM19" s="19" cm="1">
        <f t="array" ref="AM19">ROUND(SUMIFS(PUNTO,STAFF,$H19,FECHA,AM$2),2)</f>
        <v>0</v>
      </c>
      <c r="AN19" s="25">
        <f t="shared" si="1"/>
        <v>17.399999999999999</v>
      </c>
      <c r="AO19" s="25"/>
      <c r="AP19" s="27">
        <f>AN19+AO19</f>
        <v>17.399999999999999</v>
      </c>
      <c r="AQ19" s="25"/>
      <c r="AR19" s="25"/>
      <c r="AS19" s="25"/>
      <c r="AT19" s="25"/>
      <c r="AU19" s="25"/>
      <c r="AV19" s="25"/>
      <c r="AW19" s="25"/>
      <c r="AX19" s="25">
        <f t="shared" si="2"/>
        <v>17.399999999999999</v>
      </c>
    </row>
    <row r="20" spans="1:50" x14ac:dyDescent="0.3">
      <c r="A20" s="4">
        <v>46024</v>
      </c>
      <c r="B20" s="1" t="s">
        <v>34</v>
      </c>
      <c r="C20" s="2">
        <v>0.70833333333333337</v>
      </c>
      <c r="D20" s="2">
        <v>0.79791666666666672</v>
      </c>
      <c r="E20" s="5">
        <f t="shared" si="0"/>
        <v>8.9583333333333348E-2</v>
      </c>
      <c r="F20" s="6">
        <f t="shared" si="3"/>
        <v>0.36</v>
      </c>
      <c r="H20" s="24" t="s">
        <v>38</v>
      </c>
      <c r="I20" s="11" cm="1">
        <f t="array" ref="I20">ROUND(SUMIFS(PUNTO,STAFF,$H20,FECHA,I$2),2)</f>
        <v>2.14</v>
      </c>
      <c r="J20" s="11" cm="1">
        <f t="array" ref="J20">ROUND(SUMIFS(PUNTO,STAFF,$H20,FECHA,J$2),2)</f>
        <v>0</v>
      </c>
      <c r="K20" s="11" cm="1">
        <f t="array" ref="K20">ROUND(SUMIFS(PUNTO,STAFF,$H20,FECHA,K$2),2)</f>
        <v>2.0099999999999998</v>
      </c>
      <c r="L20" s="11" cm="1">
        <f t="array" ref="L20">ROUND(SUMIFS(PUNTO,STAFF,$H20,FECHA,L$2),2)</f>
        <v>0</v>
      </c>
      <c r="M20" s="11" cm="1">
        <f t="array" ref="M20">ROUND(SUMIFS(PUNTO,STAFF,$H20,FECHA,M$2),2)</f>
        <v>2.06</v>
      </c>
      <c r="N20" s="11" cm="1">
        <f t="array" ref="N20">ROUND(SUMIFS(PUNTO,STAFF,$H20,FECHA,N$2),2)</f>
        <v>2.69</v>
      </c>
      <c r="O20" s="11" cm="1">
        <f t="array" ref="O20">ROUND(SUMIFS(PUNTO,STAFF,$H20,FECHA,O$2),2)</f>
        <v>1.98</v>
      </c>
      <c r="P20" s="11" cm="1">
        <f t="array" ref="P20">ROUND(SUMIFS(PUNTO,STAFF,$H20,FECHA,P$2),2)</f>
        <v>2.0499999999999998</v>
      </c>
      <c r="Q20" s="11" cm="1">
        <f t="array" ref="Q20">ROUND(SUMIFS(PUNTO,STAFF,$H20,FECHA,Q$2),2)</f>
        <v>0</v>
      </c>
      <c r="R20" s="11" cm="1">
        <f t="array" ref="R20">ROUND(SUMIFS(PUNTO,STAFF,$H20,FECHA,R$2),2)</f>
        <v>0.53</v>
      </c>
      <c r="S20" s="11" cm="1">
        <f t="array" ref="S20">ROUND(SUMIFS(PUNTO,STAFF,$H20,FECHA,S$2),2)</f>
        <v>0</v>
      </c>
      <c r="T20" s="11" cm="1">
        <f t="array" ref="T20">ROUND(SUMIFS(PUNTO,STAFF,$H20,FECHA,T$2),2)</f>
        <v>2.12</v>
      </c>
      <c r="U20" s="11" cm="1">
        <f t="array" ref="U20">ROUND(SUMIFS(PUNTO,STAFF,$H20,FECHA,U$2),2)</f>
        <v>2.88</v>
      </c>
      <c r="V20" s="11" cm="1">
        <f t="array" ref="V20">ROUND(SUMIFS(PUNTO,STAFF,$H20,FECHA,V$2),2)</f>
        <v>0</v>
      </c>
      <c r="W20" s="11" cm="1">
        <f t="array" ref="W20">ROUND(SUMIFS(PUNTO,STAFF,$H20,FECHA,W$2),2)</f>
        <v>1.75</v>
      </c>
      <c r="X20" s="11" cm="1">
        <f t="array" ref="X20">ROUND(SUMIFS(PUNTO,STAFF,$H20,FECHA,X$2),2)</f>
        <v>0</v>
      </c>
      <c r="Y20" s="11" cm="1">
        <f t="array" ref="Y20">ROUND(SUMIFS(PUNTO,STAFF,$H20,FECHA,Y$2),2)</f>
        <v>0</v>
      </c>
      <c r="Z20" s="11" cm="1">
        <f t="array" ref="Z20">ROUND(SUMIFS(PUNTO,STAFF,$H20,FECHA,Z$2),2)</f>
        <v>0</v>
      </c>
      <c r="AA20" s="11" cm="1">
        <f t="array" ref="AA20">ROUND(SUMIFS(PUNTO,STAFF,$H20,FECHA,AA$2),2)</f>
        <v>1.96</v>
      </c>
      <c r="AB20" s="11" cm="1">
        <f t="array" ref="AB20">ROUND(SUMIFS(PUNTO,STAFF,$H20,FECHA,AB$2),2)</f>
        <v>1.99</v>
      </c>
      <c r="AC20" s="11" cm="1">
        <f t="array" ref="AC20">ROUND(SUMIFS(PUNTO,STAFF,$H20,FECHA,AC$2),2)</f>
        <v>0</v>
      </c>
      <c r="AD20" s="11" cm="1">
        <f t="array" ref="AD20">ROUND(SUMIFS(PUNTO,STAFF,$H20,FECHA,AD$2),2)</f>
        <v>2.13</v>
      </c>
      <c r="AE20" s="11" cm="1">
        <f t="array" ref="AE20">ROUND(SUMIFS(PUNTO,STAFF,$H20,FECHA,AE$2),2)</f>
        <v>0</v>
      </c>
      <c r="AF20" s="11" cm="1">
        <f t="array" ref="AF20">ROUND(SUMIFS(PUNTO,STAFF,$H20,FECHA,AF$2),2)</f>
        <v>0</v>
      </c>
      <c r="AG20" s="11" cm="1">
        <f t="array" ref="AG20">ROUND(SUMIFS(PUNTO,STAFF,$H20,FECHA,AG$2),2)</f>
        <v>0</v>
      </c>
      <c r="AH20" s="11" cm="1">
        <f t="array" ref="AH20">ROUND(SUMIFS(PUNTO,STAFF,$H20,FECHA,AH$2),2)</f>
        <v>0.63</v>
      </c>
      <c r="AI20" s="11" cm="1">
        <f t="array" ref="AI20">ROUND(SUMIFS(PUNTO,STAFF,$H20,FECHA,AI$2),2)</f>
        <v>2.54</v>
      </c>
      <c r="AJ20" s="11" cm="1">
        <f t="array" ref="AJ20">ROUND(SUMIFS(PUNTO,STAFF,$H20,FECHA,AJ$2),2)</f>
        <v>2.5499999999999998</v>
      </c>
      <c r="AK20" s="11" cm="1">
        <f t="array" ref="AK20">ROUND(SUMIFS(PUNTO,STAFF,$H20,FECHA,AK$2),2)</f>
        <v>2.02</v>
      </c>
      <c r="AL20" s="11" cm="1">
        <f t="array" ref="AL20">ROUND(SUMIFS(PUNTO,STAFF,$H20,FECHA,AL$2),2)</f>
        <v>0</v>
      </c>
      <c r="AM20" s="11" cm="1">
        <f t="array" ref="AM20">ROUND(SUMIFS(PUNTO,STAFF,$H20,FECHA,AM$2),2)</f>
        <v>1.17</v>
      </c>
      <c r="AN20" s="26">
        <f t="shared" si="1"/>
        <v>35.199999999999996</v>
      </c>
      <c r="AO20" s="26"/>
      <c r="AP20" s="27">
        <f>AN20+AO20</f>
        <v>35.199999999999996</v>
      </c>
      <c r="AQ20" s="26">
        <f>AP20*$AQ$2</f>
        <v>3.5199999999999996</v>
      </c>
      <c r="AR20" s="26"/>
      <c r="AS20" s="26"/>
      <c r="AT20" s="26"/>
      <c r="AU20" s="26"/>
      <c r="AV20" s="26"/>
      <c r="AW20" s="26"/>
      <c r="AX20" s="25">
        <f t="shared" si="2"/>
        <v>38.72</v>
      </c>
    </row>
    <row r="21" spans="1:50" x14ac:dyDescent="0.3">
      <c r="A21" s="4">
        <v>46024</v>
      </c>
      <c r="B21" s="1" t="s">
        <v>7</v>
      </c>
      <c r="C21" s="2">
        <v>46024.803472222222</v>
      </c>
      <c r="D21" s="2">
        <v>46025.309027777781</v>
      </c>
      <c r="E21" s="5">
        <f t="shared" si="0"/>
        <v>0.50555555555911269</v>
      </c>
      <c r="F21" s="6">
        <f t="shared" si="3"/>
        <v>2.02</v>
      </c>
      <c r="H21" s="21" t="s">
        <v>4</v>
      </c>
      <c r="I21" s="19" cm="1">
        <f t="array" ref="I21">ROUND(SUMIFS(PUNTO,STAFF,$H21,FECHA,I$2),2)</f>
        <v>0</v>
      </c>
      <c r="J21" s="19" cm="1">
        <f t="array" ref="J21">ROUND(SUMIFS(PUNTO,STAFF,$H21,FECHA,J$2),2)</f>
        <v>2.0299999999999998</v>
      </c>
      <c r="K21" s="19" cm="1">
        <f t="array" ref="K21">ROUND(SUMIFS(PUNTO,STAFF,$H21,FECHA,K$2),2)</f>
        <v>2.04</v>
      </c>
      <c r="L21" s="19" cm="1">
        <f t="array" ref="L21">ROUND(SUMIFS(PUNTO,STAFF,$H21,FECHA,L$2),2)</f>
        <v>0</v>
      </c>
      <c r="M21" s="19" cm="1">
        <f t="array" ref="M21">ROUND(SUMIFS(PUNTO,STAFF,$H21,FECHA,M$2),2)</f>
        <v>0</v>
      </c>
      <c r="N21" s="19" cm="1">
        <f t="array" ref="N21">ROUND(SUMIFS(PUNTO,STAFF,$H21,FECHA,N$2),2)</f>
        <v>2.06</v>
      </c>
      <c r="O21" s="19" cm="1">
        <f t="array" ref="O21">ROUND(SUMIFS(PUNTO,STAFF,$H21,FECHA,O$2),2)</f>
        <v>0</v>
      </c>
      <c r="P21" s="19" cm="1">
        <f t="array" ref="P21">ROUND(SUMIFS(PUNTO,STAFF,$H21,FECHA,P$2),2)</f>
        <v>2.2799999999999998</v>
      </c>
      <c r="Q21" s="19" cm="1">
        <f t="array" ref="Q21">ROUND(SUMIFS(PUNTO,STAFF,$H21,FECHA,Q$2),2)</f>
        <v>2.09</v>
      </c>
      <c r="R21" s="19" cm="1">
        <f t="array" ref="R21">ROUND(SUMIFS(PUNTO,STAFF,$H21,FECHA,R$2),2)</f>
        <v>1.39</v>
      </c>
      <c r="S21" s="19" cm="1">
        <f t="array" ref="S21">ROUND(SUMIFS(PUNTO,STAFF,$H21,FECHA,S$2),2)</f>
        <v>0.8</v>
      </c>
      <c r="T21" s="19" cm="1">
        <f t="array" ref="T21">ROUND(SUMIFS(PUNTO,STAFF,$H21,FECHA,T$2),2)</f>
        <v>0</v>
      </c>
      <c r="U21" s="19" cm="1">
        <f t="array" ref="U21">ROUND(SUMIFS(PUNTO,STAFF,$H21,FECHA,U$2),2)</f>
        <v>2.04</v>
      </c>
      <c r="V21" s="19" cm="1">
        <f t="array" ref="V21">ROUND(SUMIFS(PUNTO,STAFF,$H21,FECHA,V$2),2)</f>
        <v>0</v>
      </c>
      <c r="W21" s="19" cm="1">
        <f t="array" ref="W21">ROUND(SUMIFS(PUNTO,STAFF,$H21,FECHA,W$2),2)</f>
        <v>2.2799999999999998</v>
      </c>
      <c r="X21" s="19" cm="1">
        <f t="array" ref="X21">ROUND(SUMIFS(PUNTO,STAFF,$H21,FECHA,X$2),2)</f>
        <v>2.14</v>
      </c>
      <c r="Y21" s="19" cm="1">
        <f t="array" ref="Y21">ROUND(SUMIFS(PUNTO,STAFF,$H21,FECHA,Y$2),2)</f>
        <v>2.4300000000000002</v>
      </c>
      <c r="Z21" s="19" cm="1">
        <f t="array" ref="Z21">ROUND(SUMIFS(PUNTO,STAFF,$H21,FECHA,Z$2),2)</f>
        <v>0</v>
      </c>
      <c r="AA21" s="19" cm="1">
        <f t="array" ref="AA21">ROUND(SUMIFS(PUNTO,STAFF,$H21,FECHA,AA$2),2)</f>
        <v>0</v>
      </c>
      <c r="AB21" s="19" cm="1">
        <f t="array" ref="AB21">ROUND(SUMIFS(PUNTO,STAFF,$H21,FECHA,AB$2),2)</f>
        <v>2</v>
      </c>
      <c r="AC21" s="19" cm="1">
        <f t="array" ref="AC21">ROUND(SUMIFS(PUNTO,STAFF,$H21,FECHA,AC$2),2)</f>
        <v>0</v>
      </c>
      <c r="AD21" s="19" cm="1">
        <f t="array" ref="AD21">ROUND(SUMIFS(PUNTO,STAFF,$H21,FECHA,AD$2),2)</f>
        <v>2.02</v>
      </c>
      <c r="AE21" s="19" cm="1">
        <f t="array" ref="AE21">ROUND(SUMIFS(PUNTO,STAFF,$H21,FECHA,AE$2),2)</f>
        <v>2.2200000000000002</v>
      </c>
      <c r="AF21" s="19" cm="1">
        <f t="array" ref="AF21">ROUND(SUMIFS(PUNTO,STAFF,$H21,FECHA,AF$2),2)</f>
        <v>1.18</v>
      </c>
      <c r="AG21" s="19" cm="1">
        <f t="array" ref="AG21">ROUND(SUMIFS(PUNTO,STAFF,$H21,FECHA,AG$2),2)</f>
        <v>2.27</v>
      </c>
      <c r="AH21" s="19" cm="1">
        <f t="array" ref="AH21">ROUND(SUMIFS(PUNTO,STAFF,$H21,FECHA,AH$2),2)</f>
        <v>0</v>
      </c>
      <c r="AI21" s="19" cm="1">
        <f t="array" ref="AI21">ROUND(SUMIFS(PUNTO,STAFF,$H21,FECHA,AI$2),2)</f>
        <v>1.77</v>
      </c>
      <c r="AJ21" s="19" cm="1">
        <f t="array" ref="AJ21">ROUND(SUMIFS(PUNTO,STAFF,$H21,FECHA,AJ$2),2)</f>
        <v>0</v>
      </c>
      <c r="AK21" s="19" cm="1">
        <f t="array" ref="AK21">ROUND(SUMIFS(PUNTO,STAFF,$H21,FECHA,AK$2),2)</f>
        <v>1.93</v>
      </c>
      <c r="AL21" s="19" cm="1">
        <f t="array" ref="AL21">ROUND(SUMIFS(PUNTO,STAFF,$H21,FECHA,AL$2),2)</f>
        <v>2.06</v>
      </c>
      <c r="AM21" s="19" cm="1">
        <f t="array" ref="AM21">ROUND(SUMIFS(PUNTO,STAFF,$H21,FECHA,AM$2),2)</f>
        <v>1.93</v>
      </c>
      <c r="AN21" s="25">
        <f t="shared" si="1"/>
        <v>38.96</v>
      </c>
      <c r="AO21" s="25"/>
      <c r="AP21" s="27">
        <f>AN21+AO21</f>
        <v>38.96</v>
      </c>
      <c r="AQ21" s="25">
        <f>AP21*$AQ$2</f>
        <v>3.8960000000000004</v>
      </c>
      <c r="AR21" s="25"/>
      <c r="AS21" s="27">
        <v>1</v>
      </c>
      <c r="AT21" s="27"/>
      <c r="AU21" s="25"/>
      <c r="AV21" s="25"/>
      <c r="AW21" s="25"/>
      <c r="AX21" s="25">
        <f t="shared" si="2"/>
        <v>43.856000000000002</v>
      </c>
    </row>
    <row r="22" spans="1:50" x14ac:dyDescent="0.3">
      <c r="A22" s="4">
        <v>46025</v>
      </c>
      <c r="B22" s="1" t="s">
        <v>43</v>
      </c>
      <c r="C22" s="2">
        <v>6.9444444444444441E-3</v>
      </c>
      <c r="D22" s="2">
        <v>0.11388888888888889</v>
      </c>
      <c r="E22" s="5">
        <f t="shared" si="0"/>
        <v>0.10694444444444444</v>
      </c>
      <c r="F22" s="6">
        <f t="shared" si="3"/>
        <v>0.43</v>
      </c>
      <c r="H22" s="24" t="s">
        <v>39</v>
      </c>
      <c r="I22" s="11" cm="1">
        <f t="array" ref="I22">ROUND(SUMIFS(PUNTO,STAFF,$H22,FECHA,I$2),2)</f>
        <v>0</v>
      </c>
      <c r="J22" s="11" cm="1">
        <f t="array" ref="J22">ROUND(SUMIFS(PUNTO,STAFF,$H22,FECHA,J$2),2)</f>
        <v>1.01</v>
      </c>
      <c r="K22" s="11" cm="1">
        <f t="array" ref="K22">ROUND(SUMIFS(PUNTO,STAFF,$H22,FECHA,K$2),2)</f>
        <v>0.17</v>
      </c>
      <c r="L22" s="11" cm="1">
        <f t="array" ref="L22">ROUND(SUMIFS(PUNTO,STAFF,$H22,FECHA,L$2),2)</f>
        <v>0</v>
      </c>
      <c r="M22" s="11" cm="1">
        <f t="array" ref="M22">ROUND(SUMIFS(PUNTO,STAFF,$H22,FECHA,M$2),2)</f>
        <v>2.02</v>
      </c>
      <c r="N22" s="11" cm="1">
        <f t="array" ref="N22">ROUND(SUMIFS(PUNTO,STAFF,$H22,FECHA,N$2),2)</f>
        <v>1.99</v>
      </c>
      <c r="O22" s="11" cm="1">
        <f t="array" ref="O22">ROUND(SUMIFS(PUNTO,STAFF,$H22,FECHA,O$2),2)</f>
        <v>1.8</v>
      </c>
      <c r="P22" s="11" cm="1">
        <f t="array" ref="P22">ROUND(SUMIFS(PUNTO,STAFF,$H22,FECHA,P$2),2)</f>
        <v>2.1</v>
      </c>
      <c r="Q22" s="11" cm="1">
        <f t="array" ref="Q22">ROUND(SUMIFS(PUNTO,STAFF,$H22,FECHA,Q$2),2)</f>
        <v>1.8</v>
      </c>
      <c r="R22" s="11" cm="1">
        <f t="array" ref="R22">ROUND(SUMIFS(PUNTO,STAFF,$H22,FECHA,R$2),2)</f>
        <v>0</v>
      </c>
      <c r="S22" s="11" cm="1">
        <f t="array" ref="S22">ROUND(SUMIFS(PUNTO,STAFF,$H22,FECHA,S$2),2)</f>
        <v>0</v>
      </c>
      <c r="T22" s="11" cm="1">
        <f t="array" ref="T22">ROUND(SUMIFS(PUNTO,STAFF,$H22,FECHA,T$2),2)</f>
        <v>1.93</v>
      </c>
      <c r="U22" s="11" cm="1">
        <f t="array" ref="U22">ROUND(SUMIFS(PUNTO,STAFF,$H22,FECHA,U$2),2)</f>
        <v>1.85</v>
      </c>
      <c r="V22" s="11" cm="1">
        <f t="array" ref="V22">ROUND(SUMIFS(PUNTO,STAFF,$H22,FECHA,V$2),2)</f>
        <v>2</v>
      </c>
      <c r="W22" s="11" cm="1">
        <f t="array" ref="W22">ROUND(SUMIFS(PUNTO,STAFF,$H22,FECHA,W$2),2)</f>
        <v>1.83</v>
      </c>
      <c r="X22" s="11" cm="1">
        <f t="array" ref="X22">ROUND(SUMIFS(PUNTO,STAFF,$H22,FECHA,X$2),2)</f>
        <v>1.99</v>
      </c>
      <c r="Y22" s="11" cm="1">
        <f t="array" ref="Y22">ROUND(SUMIFS(PUNTO,STAFF,$H22,FECHA,Y$2),2)</f>
        <v>0.88</v>
      </c>
      <c r="Z22" s="11" cm="1">
        <f t="array" ref="Z22">ROUND(SUMIFS(PUNTO,STAFF,$H22,FECHA,Z$2),2)</f>
        <v>0</v>
      </c>
      <c r="AA22" s="11" cm="1">
        <f t="array" ref="AA22">ROUND(SUMIFS(PUNTO,STAFF,$H22,FECHA,AA$2),2)</f>
        <v>1.83</v>
      </c>
      <c r="AB22" s="11" cm="1">
        <f t="array" ref="AB22">ROUND(SUMIFS(PUNTO,STAFF,$H22,FECHA,AB$2),2)</f>
        <v>1.66</v>
      </c>
      <c r="AC22" s="11" cm="1">
        <f t="array" ref="AC22">ROUND(SUMIFS(PUNTO,STAFF,$H22,FECHA,AC$2),2)</f>
        <v>1.68</v>
      </c>
      <c r="AD22" s="11" cm="1">
        <f t="array" ref="AD22">ROUND(SUMIFS(PUNTO,STAFF,$H22,FECHA,AD$2),2)</f>
        <v>1.67</v>
      </c>
      <c r="AE22" s="11" cm="1">
        <f t="array" ref="AE22">ROUND(SUMIFS(PUNTO,STAFF,$H22,FECHA,AE$2),2)</f>
        <v>1.83</v>
      </c>
      <c r="AF22" s="11" cm="1">
        <f t="array" ref="AF22">ROUND(SUMIFS(PUNTO,STAFF,$H22,FECHA,AF$2),2)</f>
        <v>0.91</v>
      </c>
      <c r="AG22" s="11" cm="1">
        <f t="array" ref="AG22">ROUND(SUMIFS(PUNTO,STAFF,$H22,FECHA,AG$2),2)</f>
        <v>0</v>
      </c>
      <c r="AH22" s="11" cm="1">
        <f t="array" ref="AH22">ROUND(SUMIFS(PUNTO,STAFF,$H22,FECHA,AH$2),2)</f>
        <v>1.95</v>
      </c>
      <c r="AI22" s="11" cm="1">
        <f t="array" ref="AI22">ROUND(SUMIFS(PUNTO,STAFF,$H22,FECHA,AI$2),2)</f>
        <v>1.81</v>
      </c>
      <c r="AJ22" s="11" cm="1">
        <f t="array" ref="AJ22">ROUND(SUMIFS(PUNTO,STAFF,$H22,FECHA,AJ$2),2)</f>
        <v>1.79</v>
      </c>
      <c r="AK22" s="11" cm="1">
        <f t="array" ref="AK22">ROUND(SUMIFS(PUNTO,STAFF,$H22,FECHA,AK$2),2)</f>
        <v>1.86</v>
      </c>
      <c r="AL22" s="11" cm="1">
        <f t="array" ref="AL22">ROUND(SUMIFS(PUNTO,STAFF,$H22,FECHA,AL$2),2)</f>
        <v>2.0299999999999998</v>
      </c>
      <c r="AM22" s="11" cm="1">
        <f t="array" ref="AM22">ROUND(SUMIFS(PUNTO,STAFF,$H22,FECHA,AM$2),2)</f>
        <v>0</v>
      </c>
      <c r="AN22" s="26">
        <f t="shared" si="1"/>
        <v>40.389999999999993</v>
      </c>
      <c r="AO22" s="26"/>
      <c r="AP22" s="27">
        <f>AN22+AO22</f>
        <v>40.389999999999993</v>
      </c>
      <c r="AQ22" s="26">
        <f>AP22*$AQ$2</f>
        <v>4.0389999999999997</v>
      </c>
      <c r="AR22" s="26"/>
      <c r="AS22" s="26"/>
      <c r="AT22" s="26"/>
      <c r="AU22" s="26"/>
      <c r="AV22" s="26"/>
      <c r="AW22" s="26"/>
      <c r="AX22" s="25">
        <f t="shared" si="2"/>
        <v>44.428999999999995</v>
      </c>
    </row>
    <row r="23" spans="1:50" x14ac:dyDescent="0.3">
      <c r="A23" s="4">
        <v>46025</v>
      </c>
      <c r="B23" s="1" t="s">
        <v>33</v>
      </c>
      <c r="C23" s="2">
        <v>0.24791666666666667</v>
      </c>
      <c r="D23" s="2">
        <v>0.36041666666666666</v>
      </c>
      <c r="E23" s="5">
        <f t="shared" si="0"/>
        <v>0.11249999999999999</v>
      </c>
      <c r="F23" s="6">
        <f t="shared" si="3"/>
        <v>0.45</v>
      </c>
      <c r="H23" s="21" t="s">
        <v>40</v>
      </c>
      <c r="I23" s="19" cm="1">
        <f t="array" ref="I23">ROUND(SUMIFS(PUNTO,STAFF,$H23,FECHA,I$2),2)</f>
        <v>0</v>
      </c>
      <c r="J23" s="19" cm="1">
        <f t="array" ref="J23">ROUND(SUMIFS(PUNTO,STAFF,$H23,FECHA,J$2),2)</f>
        <v>2</v>
      </c>
      <c r="K23" s="19" cm="1">
        <f t="array" ref="K23">ROUND(SUMIFS(PUNTO,STAFF,$H23,FECHA,K$2),2)</f>
        <v>0</v>
      </c>
      <c r="L23" s="19" cm="1">
        <f t="array" ref="L23">ROUND(SUMIFS(PUNTO,STAFF,$H23,FECHA,L$2),2)</f>
        <v>0</v>
      </c>
      <c r="M23" s="19" cm="1">
        <f t="array" ref="M23">ROUND(SUMIFS(PUNTO,STAFF,$H23,FECHA,M$2),2)</f>
        <v>0</v>
      </c>
      <c r="N23" s="19" cm="1">
        <f t="array" ref="N23">ROUND(SUMIFS(PUNTO,STAFF,$H23,FECHA,N$2),2)</f>
        <v>0</v>
      </c>
      <c r="O23" s="19" cm="1">
        <f t="array" ref="O23">ROUND(SUMIFS(PUNTO,STAFF,$H23,FECHA,O$2),2)</f>
        <v>0</v>
      </c>
      <c r="P23" s="19" cm="1">
        <f t="array" ref="P23">ROUND(SUMIFS(PUNTO,STAFF,$H23,FECHA,P$2),2)</f>
        <v>0</v>
      </c>
      <c r="Q23" s="19" cm="1">
        <f t="array" ref="Q23">ROUND(SUMIFS(PUNTO,STAFF,$H23,FECHA,Q$2),2)</f>
        <v>2.0299999999999998</v>
      </c>
      <c r="R23" s="19" cm="1">
        <f t="array" ref="R23">ROUND(SUMIFS(PUNTO,STAFF,$H23,FECHA,R$2),2)</f>
        <v>0</v>
      </c>
      <c r="S23" s="19" cm="1">
        <f t="array" ref="S23">ROUND(SUMIFS(PUNTO,STAFF,$H23,FECHA,S$2),2)</f>
        <v>0</v>
      </c>
      <c r="T23" s="19" cm="1">
        <f t="array" ref="T23">ROUND(SUMIFS(PUNTO,STAFF,$H23,FECHA,T$2),2)</f>
        <v>0.88</v>
      </c>
      <c r="U23" s="19" cm="1">
        <f t="array" ref="U23">ROUND(SUMIFS(PUNTO,STAFF,$H23,FECHA,U$2),2)</f>
        <v>2.2200000000000002</v>
      </c>
      <c r="V23" s="19" cm="1">
        <f t="array" ref="V23">ROUND(SUMIFS(PUNTO,STAFF,$H23,FECHA,V$2),2)</f>
        <v>1.44</v>
      </c>
      <c r="W23" s="19" cm="1">
        <f t="array" ref="W23">ROUND(SUMIFS(PUNTO,STAFF,$H23,FECHA,W$2),2)</f>
        <v>1.92</v>
      </c>
      <c r="X23" s="19" cm="1">
        <f t="array" ref="X23">ROUND(SUMIFS(PUNTO,STAFF,$H23,FECHA,X$2),2)</f>
        <v>2.0099999999999998</v>
      </c>
      <c r="Y23" s="19" cm="1">
        <f t="array" ref="Y23">ROUND(SUMIFS(PUNTO,STAFF,$H23,FECHA,Y$2),2)</f>
        <v>0</v>
      </c>
      <c r="Z23" s="19" cm="1">
        <f t="array" ref="Z23">ROUND(SUMIFS(PUNTO,STAFF,$H23,FECHA,Z$2),2)</f>
        <v>0</v>
      </c>
      <c r="AA23" s="19" cm="1">
        <f t="array" ref="AA23">ROUND(SUMIFS(PUNTO,STAFF,$H23,FECHA,AA$2),2)</f>
        <v>2.2000000000000002</v>
      </c>
      <c r="AB23" s="19" cm="1">
        <f t="array" ref="AB23">ROUND(SUMIFS(PUNTO,STAFF,$H23,FECHA,AB$2),2)</f>
        <v>0</v>
      </c>
      <c r="AC23" s="19" cm="1">
        <f t="array" ref="AC23">ROUND(SUMIFS(PUNTO,STAFF,$H23,FECHA,AC$2),2)</f>
        <v>0.25</v>
      </c>
      <c r="AD23" s="19" cm="1">
        <f t="array" ref="AD23">ROUND(SUMIFS(PUNTO,STAFF,$H23,FECHA,AD$2),2)</f>
        <v>1.31</v>
      </c>
      <c r="AE23" s="19" cm="1">
        <f t="array" ref="AE23">ROUND(SUMIFS(PUNTO,STAFF,$H23,FECHA,AE$2),2)</f>
        <v>2.0099999999999998</v>
      </c>
      <c r="AF23" s="19" cm="1">
        <f t="array" ref="AF23">ROUND(SUMIFS(PUNTO,STAFF,$H23,FECHA,AF$2),2)</f>
        <v>0</v>
      </c>
      <c r="AG23" s="19" cm="1">
        <f t="array" ref="AG23">ROUND(SUMIFS(PUNTO,STAFF,$H23,FECHA,AG$2),2)</f>
        <v>1.83</v>
      </c>
      <c r="AH23" s="19" cm="1">
        <f t="array" ref="AH23">ROUND(SUMIFS(PUNTO,STAFF,$H23,FECHA,AH$2),2)</f>
        <v>0</v>
      </c>
      <c r="AI23" s="19" cm="1">
        <f t="array" ref="AI23">ROUND(SUMIFS(PUNTO,STAFF,$H23,FECHA,AI$2),2)</f>
        <v>2.41</v>
      </c>
      <c r="AJ23" s="19" cm="1">
        <f t="array" ref="AJ23">ROUND(SUMIFS(PUNTO,STAFF,$H23,FECHA,AJ$2),2)</f>
        <v>1.44</v>
      </c>
      <c r="AK23" s="19" cm="1">
        <f t="array" ref="AK23">ROUND(SUMIFS(PUNTO,STAFF,$H23,FECHA,AK$2),2)</f>
        <v>0</v>
      </c>
      <c r="AL23" s="19" cm="1">
        <f t="array" ref="AL23">ROUND(SUMIFS(PUNTO,STAFF,$H23,FECHA,AL$2),2)</f>
        <v>1.99</v>
      </c>
      <c r="AM23" s="19" cm="1">
        <f t="array" ref="AM23">ROUND(SUMIFS(PUNTO,STAFF,$H23,FECHA,AM$2),2)</f>
        <v>0</v>
      </c>
      <c r="AN23" s="25">
        <f t="shared" si="1"/>
        <v>25.939999999999994</v>
      </c>
      <c r="AO23" s="25"/>
      <c r="AP23" s="27">
        <f>AN23+AO23</f>
        <v>25.939999999999994</v>
      </c>
      <c r="AQ23" s="25">
        <f>AP23*$AQ$2</f>
        <v>2.5939999999999994</v>
      </c>
      <c r="AR23" s="25"/>
      <c r="AS23" s="25"/>
      <c r="AT23" s="25"/>
      <c r="AU23" s="25"/>
      <c r="AV23" s="25"/>
      <c r="AW23" s="25"/>
      <c r="AX23" s="25">
        <f t="shared" si="2"/>
        <v>28.533999999999992</v>
      </c>
    </row>
    <row r="24" spans="1:50" x14ac:dyDescent="0.3">
      <c r="A24" s="4">
        <v>46025</v>
      </c>
      <c r="B24" s="1" t="s">
        <v>8</v>
      </c>
      <c r="C24" s="2">
        <v>0.28055555555555556</v>
      </c>
      <c r="D24" s="2">
        <v>0.79652777777777772</v>
      </c>
      <c r="E24" s="5">
        <f t="shared" si="0"/>
        <v>0.51597222222222217</v>
      </c>
      <c r="F24" s="6">
        <f t="shared" si="3"/>
        <v>2.06</v>
      </c>
      <c r="H24" s="24" t="s">
        <v>41</v>
      </c>
      <c r="I24" s="11" cm="1">
        <f t="array" ref="I24">ROUND(SUMIFS(PUNTO,STAFF,$H24,FECHA,I$2),2)</f>
        <v>0</v>
      </c>
      <c r="J24" s="11" cm="1">
        <f t="array" ref="J24">ROUND(SUMIFS(PUNTO,STAFF,$H24,FECHA,J$2),2)</f>
        <v>0</v>
      </c>
      <c r="K24" s="11" cm="1">
        <f t="array" ref="K24">ROUND(SUMIFS(PUNTO,STAFF,$H24,FECHA,K$2),2)</f>
        <v>0</v>
      </c>
      <c r="L24" s="11" cm="1">
        <f t="array" ref="L24">ROUND(SUMIFS(PUNTO,STAFF,$H24,FECHA,L$2),2)</f>
        <v>0</v>
      </c>
      <c r="M24" s="11" cm="1">
        <f t="array" ref="M24">ROUND(SUMIFS(PUNTO,STAFF,$H24,FECHA,M$2),2)</f>
        <v>0</v>
      </c>
      <c r="N24" s="11" cm="1">
        <f t="array" ref="N24">ROUND(SUMIFS(PUNTO,STAFF,$H24,FECHA,N$2),2)</f>
        <v>0</v>
      </c>
      <c r="O24" s="11" cm="1">
        <f t="array" ref="O24">ROUND(SUMIFS(PUNTO,STAFF,$H24,FECHA,O$2),2)</f>
        <v>0</v>
      </c>
      <c r="P24" s="11" cm="1">
        <f t="array" ref="P24">ROUND(SUMIFS(PUNTO,STAFF,$H24,FECHA,P$2),2)</f>
        <v>0</v>
      </c>
      <c r="Q24" s="11" cm="1">
        <f t="array" ref="Q24">ROUND(SUMIFS(PUNTO,STAFF,$H24,FECHA,Q$2),2)</f>
        <v>0</v>
      </c>
      <c r="R24" s="11" cm="1">
        <f t="array" ref="R24">ROUND(SUMIFS(PUNTO,STAFF,$H24,FECHA,R$2),2)</f>
        <v>0</v>
      </c>
      <c r="S24" s="11" cm="1">
        <f t="array" ref="S24">ROUND(SUMIFS(PUNTO,STAFF,$H24,FECHA,S$2),2)</f>
        <v>0</v>
      </c>
      <c r="T24" s="11" cm="1">
        <f t="array" ref="T24">ROUND(SUMIFS(PUNTO,STAFF,$H24,FECHA,T$2),2)</f>
        <v>0</v>
      </c>
      <c r="U24" s="11" cm="1">
        <f t="array" ref="U24">ROUND(SUMIFS(PUNTO,STAFF,$H24,FECHA,U$2),2)</f>
        <v>0</v>
      </c>
      <c r="V24" s="11" cm="1">
        <f t="array" ref="V24">ROUND(SUMIFS(PUNTO,STAFF,$H24,FECHA,V$2),2)</f>
        <v>1.98</v>
      </c>
      <c r="W24" s="11" cm="1">
        <f t="array" ref="W24">ROUND(SUMIFS(PUNTO,STAFF,$H24,FECHA,W$2),2)</f>
        <v>0</v>
      </c>
      <c r="X24" s="11" cm="1">
        <f t="array" ref="X24">ROUND(SUMIFS(PUNTO,STAFF,$H24,FECHA,X$2),2)</f>
        <v>1.51</v>
      </c>
      <c r="Y24" s="11" cm="1">
        <f t="array" ref="Y24">ROUND(SUMIFS(PUNTO,STAFF,$H24,FECHA,Y$2),2)</f>
        <v>0</v>
      </c>
      <c r="Z24" s="11" cm="1">
        <f t="array" ref="Z24">ROUND(SUMIFS(PUNTO,STAFF,$H24,FECHA,Z$2),2)</f>
        <v>0.5</v>
      </c>
      <c r="AA24" s="11" cm="1">
        <f t="array" ref="AA24">ROUND(SUMIFS(PUNTO,STAFF,$H24,FECHA,AA$2),2)</f>
        <v>2.2400000000000002</v>
      </c>
      <c r="AB24" s="11" cm="1">
        <f t="array" ref="AB24">ROUND(SUMIFS(PUNTO,STAFF,$H24,FECHA,AB$2),2)</f>
        <v>0</v>
      </c>
      <c r="AC24" s="11" cm="1">
        <f t="array" ref="AC24">ROUND(SUMIFS(PUNTO,STAFF,$H24,FECHA,AC$2),2)</f>
        <v>1.73</v>
      </c>
      <c r="AD24" s="11" cm="1">
        <f t="array" ref="AD24">ROUND(SUMIFS(PUNTO,STAFF,$H24,FECHA,AD$2),2)</f>
        <v>0</v>
      </c>
      <c r="AE24" s="11" cm="1">
        <f t="array" ref="AE24">ROUND(SUMIFS(PUNTO,STAFF,$H24,FECHA,AE$2),2)</f>
        <v>1.4</v>
      </c>
      <c r="AF24" s="11" cm="1">
        <f t="array" ref="AF24">ROUND(SUMIFS(PUNTO,STAFF,$H24,FECHA,AF$2),2)</f>
        <v>0.25</v>
      </c>
      <c r="AG24" s="11" cm="1">
        <f t="array" ref="AG24">ROUND(SUMIFS(PUNTO,STAFF,$H24,FECHA,AG$2),2)</f>
        <v>0</v>
      </c>
      <c r="AH24" s="11" cm="1">
        <f t="array" ref="AH24">ROUND(SUMIFS(PUNTO,STAFF,$H24,FECHA,AH$2),2)</f>
        <v>1.85</v>
      </c>
      <c r="AI24" s="11" cm="1">
        <f t="array" ref="AI24">ROUND(SUMIFS(PUNTO,STAFF,$H24,FECHA,AI$2),2)</f>
        <v>0</v>
      </c>
      <c r="AJ24" s="11" cm="1">
        <f t="array" ref="AJ24">ROUND(SUMIFS(PUNTO,STAFF,$H24,FECHA,AJ$2),2)</f>
        <v>2</v>
      </c>
      <c r="AK24" s="11" cm="1">
        <f t="array" ref="AK24">ROUND(SUMIFS(PUNTO,STAFF,$H24,FECHA,AK$2),2)</f>
        <v>0</v>
      </c>
      <c r="AL24" s="11" cm="1">
        <f t="array" ref="AL24">ROUND(SUMIFS(PUNTO,STAFF,$H24,FECHA,AL$2),2)</f>
        <v>1.54</v>
      </c>
      <c r="AM24" s="11" cm="1">
        <f t="array" ref="AM24">ROUND(SUMIFS(PUNTO,STAFF,$H24,FECHA,AM$2),2)</f>
        <v>0.62</v>
      </c>
      <c r="AN24" s="26">
        <f t="shared" si="1"/>
        <v>15.62</v>
      </c>
      <c r="AO24" s="26"/>
      <c r="AP24" s="27">
        <f>AN24+AO24</f>
        <v>15.62</v>
      </c>
      <c r="AQ24" s="26"/>
      <c r="AR24" s="26">
        <f>AN24*$AR$2</f>
        <v>1.5620000000000001</v>
      </c>
      <c r="AS24" s="26"/>
      <c r="AT24" s="26">
        <f>AT2*AN24</f>
        <v>0.78100000000000003</v>
      </c>
      <c r="AU24" s="26">
        <f>AN24*$AU$2</f>
        <v>0.78100000000000003</v>
      </c>
      <c r="AV24" s="26">
        <v>2</v>
      </c>
      <c r="AW24" s="26"/>
      <c r="AX24" s="25">
        <f t="shared" si="2"/>
        <v>20.743999999999996</v>
      </c>
    </row>
    <row r="25" spans="1:50" x14ac:dyDescent="0.3">
      <c r="A25" s="41">
        <v>46025</v>
      </c>
      <c r="B25" s="42" t="s">
        <v>64</v>
      </c>
      <c r="C25" s="43">
        <v>0.28888888888888886</v>
      </c>
      <c r="D25" s="43">
        <v>0.81041666666666667</v>
      </c>
      <c r="E25" s="44">
        <f t="shared" si="0"/>
        <v>0.52152777777777781</v>
      </c>
      <c r="F25" s="45">
        <f t="shared" si="3"/>
        <v>2.09</v>
      </c>
      <c r="G25" s="46"/>
      <c r="H25" s="21" t="s">
        <v>43</v>
      </c>
      <c r="I25" s="19" cm="1">
        <f t="array" ref="I25">ROUND(SUMIFS(PUNTO,STAFF,$H25,FECHA,I$2),2)</f>
        <v>0</v>
      </c>
      <c r="J25" s="19" cm="1">
        <f t="array" ref="J25">ROUND(SUMIFS(PUNTO,STAFF,$H25,FECHA,J$2),2)</f>
        <v>2.1800000000000002</v>
      </c>
      <c r="K25" s="19" cm="1">
        <f t="array" ref="K25">ROUND(SUMIFS(PUNTO,STAFF,$H25,FECHA,K$2),2)</f>
        <v>0.43</v>
      </c>
      <c r="L25" s="19" cm="1">
        <f t="array" ref="L25">ROUND(SUMIFS(PUNTO,STAFF,$H25,FECHA,L$2),2)</f>
        <v>0</v>
      </c>
      <c r="M25" s="19" cm="1">
        <f t="array" ref="M25">ROUND(SUMIFS(PUNTO,STAFF,$H25,FECHA,M$2),2)</f>
        <v>2.09</v>
      </c>
      <c r="N25" s="19" cm="1">
        <f t="array" ref="N25">ROUND(SUMIFS(PUNTO,STAFF,$H25,FECHA,N$2),2)</f>
        <v>0</v>
      </c>
      <c r="O25" s="19" cm="1">
        <f t="array" ref="O25">ROUND(SUMIFS(PUNTO,STAFF,$H25,FECHA,O$2),2)</f>
        <v>1.58</v>
      </c>
      <c r="P25" s="19" cm="1">
        <f t="array" ref="P25">ROUND(SUMIFS(PUNTO,STAFF,$H25,FECHA,P$2),2)</f>
        <v>2.02</v>
      </c>
      <c r="Q25" s="19" cm="1">
        <f t="array" ref="Q25">ROUND(SUMIFS(PUNTO,STAFF,$H25,FECHA,Q$2),2)</f>
        <v>2.89</v>
      </c>
      <c r="R25" s="19" cm="1">
        <f t="array" ref="R25">ROUND(SUMIFS(PUNTO,STAFF,$H25,FECHA,R$2),2)</f>
        <v>0</v>
      </c>
      <c r="S25" s="19" cm="1">
        <f t="array" ref="S25">ROUND(SUMIFS(PUNTO,STAFF,$H25,FECHA,S$2),2)</f>
        <v>2.0699999999999998</v>
      </c>
      <c r="T25" s="19" cm="1">
        <f t="array" ref="T25">ROUND(SUMIFS(PUNTO,STAFF,$H25,FECHA,T$2),2)</f>
        <v>2.1</v>
      </c>
      <c r="U25" s="19" cm="1">
        <f t="array" ref="U25">ROUND(SUMIFS(PUNTO,STAFF,$H25,FECHA,U$2),2)</f>
        <v>0</v>
      </c>
      <c r="V25" s="19" cm="1">
        <f t="array" ref="V25">ROUND(SUMIFS(PUNTO,STAFF,$H25,FECHA,V$2),2)</f>
        <v>2.13</v>
      </c>
      <c r="W25" s="19" cm="1">
        <f t="array" ref="W25">ROUND(SUMIFS(PUNTO,STAFF,$H25,FECHA,W$2),2)</f>
        <v>2</v>
      </c>
      <c r="X25" s="19" cm="1">
        <f t="array" ref="X25">ROUND(SUMIFS(PUNTO,STAFF,$H25,FECHA,X$2),2)</f>
        <v>3.05</v>
      </c>
      <c r="Y25" s="19" cm="1">
        <f t="array" ref="Y25">ROUND(SUMIFS(PUNTO,STAFF,$H25,FECHA,Y$2),2)</f>
        <v>2.09</v>
      </c>
      <c r="Z25" s="19" cm="1">
        <f t="array" ref="Z25">ROUND(SUMIFS(PUNTO,STAFF,$H25,FECHA,Z$2),2)</f>
        <v>0</v>
      </c>
      <c r="AA25" s="19" cm="1">
        <f t="array" ref="AA25">ROUND(SUMIFS(PUNTO,STAFF,$H25,FECHA,AA$2),2)</f>
        <v>0</v>
      </c>
      <c r="AB25" s="19" cm="1">
        <f t="array" ref="AB25">ROUND(SUMIFS(PUNTO,STAFF,$H25,FECHA,AB$2),2)</f>
        <v>0</v>
      </c>
      <c r="AC25" s="19" cm="1">
        <f t="array" ref="AC25">ROUND(SUMIFS(PUNTO,STAFF,$H25,FECHA,AC$2),2)</f>
        <v>0</v>
      </c>
      <c r="AD25" s="19" cm="1">
        <f t="array" ref="AD25">ROUND(SUMIFS(PUNTO,STAFF,$H25,FECHA,AD$2),2)</f>
        <v>0</v>
      </c>
      <c r="AE25" s="19" cm="1">
        <f t="array" ref="AE25">ROUND(SUMIFS(PUNTO,STAFF,$H25,FECHA,AE$2),2)</f>
        <v>0</v>
      </c>
      <c r="AF25" s="19" cm="1">
        <f t="array" ref="AF25">ROUND(SUMIFS(PUNTO,STAFF,$H25,FECHA,AF$2),2)</f>
        <v>0</v>
      </c>
      <c r="AG25" s="19" cm="1">
        <f t="array" ref="AG25">ROUND(SUMIFS(PUNTO,STAFF,$H25,FECHA,AG$2),2)</f>
        <v>0</v>
      </c>
      <c r="AH25" s="19" cm="1">
        <f t="array" ref="AH25">ROUND(SUMIFS(PUNTO,STAFF,$H25,FECHA,AH$2),2)</f>
        <v>2.06</v>
      </c>
      <c r="AI25" s="19" cm="1">
        <f t="array" ref="AI25">ROUND(SUMIFS(PUNTO,STAFF,$H25,FECHA,AI$2),2)</f>
        <v>0</v>
      </c>
      <c r="AJ25" s="19" cm="1">
        <f t="array" ref="AJ25">ROUND(SUMIFS(PUNTO,STAFF,$H25,FECHA,AJ$2),2)</f>
        <v>2.2599999999999998</v>
      </c>
      <c r="AK25" s="19" cm="1">
        <f t="array" ref="AK25">ROUND(SUMIFS(PUNTO,STAFF,$H25,FECHA,AK$2),2)</f>
        <v>1.19</v>
      </c>
      <c r="AL25" s="19" cm="1">
        <f t="array" ref="AL25">ROUND(SUMIFS(PUNTO,STAFF,$H25,FECHA,AL$2),2)</f>
        <v>3.06</v>
      </c>
      <c r="AM25" s="19" cm="1">
        <f t="array" ref="AM25">ROUND(SUMIFS(PUNTO,STAFF,$H25,FECHA,AM$2),2)</f>
        <v>0</v>
      </c>
      <c r="AN25" s="27">
        <f t="shared" si="1"/>
        <v>33.200000000000003</v>
      </c>
      <c r="AO25" s="27"/>
      <c r="AP25" s="27">
        <f>AN25+AO25</f>
        <v>33.200000000000003</v>
      </c>
      <c r="AQ25" s="27">
        <f>AP25*$AQ$2</f>
        <v>3.3200000000000003</v>
      </c>
      <c r="AR25" s="27"/>
      <c r="AS25" s="27"/>
      <c r="AT25" s="27"/>
      <c r="AU25" s="27"/>
      <c r="AV25" s="27"/>
      <c r="AW25" s="27"/>
      <c r="AX25" s="25">
        <f t="shared" si="2"/>
        <v>36.520000000000003</v>
      </c>
    </row>
    <row r="26" spans="1:50" x14ac:dyDescent="0.3">
      <c r="A26" s="4">
        <v>46025</v>
      </c>
      <c r="B26" s="1" t="s">
        <v>50</v>
      </c>
      <c r="C26" s="2">
        <v>0.3</v>
      </c>
      <c r="D26" s="2">
        <v>0.85763888888888884</v>
      </c>
      <c r="E26" s="5">
        <f t="shared" si="0"/>
        <v>0.5576388888888888</v>
      </c>
      <c r="F26" s="6">
        <f t="shared" si="3"/>
        <v>2.23</v>
      </c>
      <c r="H26" s="24" t="s">
        <v>44</v>
      </c>
      <c r="I26" s="11" cm="1">
        <f t="array" ref="I26">ROUND(SUMIFS(PUNTO,STAFF,$H26,FECHA,I$2),2)</f>
        <v>0</v>
      </c>
      <c r="J26" s="11" cm="1">
        <f t="array" ref="J26">ROUND(SUMIFS(PUNTO,STAFF,$H26,FECHA,J$2),2)</f>
        <v>0</v>
      </c>
      <c r="K26" s="11" cm="1">
        <f t="array" ref="K26">ROUND(SUMIFS(PUNTO,STAFF,$H26,FECHA,K$2),2)</f>
        <v>0</v>
      </c>
      <c r="L26" s="11" cm="1">
        <f t="array" ref="L26">ROUND(SUMIFS(PUNTO,STAFF,$H26,FECHA,L$2),2)</f>
        <v>0</v>
      </c>
      <c r="M26" s="11" cm="1">
        <f t="array" ref="M26">ROUND(SUMIFS(PUNTO,STAFF,$H26,FECHA,M$2),2)</f>
        <v>0</v>
      </c>
      <c r="N26" s="11" cm="1">
        <f t="array" ref="N26">ROUND(SUMIFS(PUNTO,STAFF,$H26,FECHA,N$2),2)</f>
        <v>0</v>
      </c>
      <c r="O26" s="11" cm="1">
        <f t="array" ref="O26">ROUND(SUMIFS(PUNTO,STAFF,$H26,FECHA,O$2),2)</f>
        <v>2.33</v>
      </c>
      <c r="P26" s="11" cm="1">
        <f t="array" ref="P26">ROUND(SUMIFS(PUNTO,STAFF,$H26,FECHA,P$2),2)</f>
        <v>0</v>
      </c>
      <c r="Q26" s="11" cm="1">
        <f t="array" ref="Q26">ROUND(SUMIFS(PUNTO,STAFF,$H26,FECHA,Q$2),2)</f>
        <v>0</v>
      </c>
      <c r="R26" s="11" cm="1">
        <f t="array" ref="R26">ROUND(SUMIFS(PUNTO,STAFF,$H26,FECHA,R$2),2)</f>
        <v>0</v>
      </c>
      <c r="S26" s="11" cm="1">
        <f t="array" ref="S26">ROUND(SUMIFS(PUNTO,STAFF,$H26,FECHA,S$2),2)</f>
        <v>0</v>
      </c>
      <c r="T26" s="11" cm="1">
        <f t="array" ref="T26">ROUND(SUMIFS(PUNTO,STAFF,$H26,FECHA,T$2),2)</f>
        <v>0</v>
      </c>
      <c r="U26" s="11" cm="1">
        <f t="array" ref="U26">ROUND(SUMIFS(PUNTO,STAFF,$H26,FECHA,U$2),2)</f>
        <v>0</v>
      </c>
      <c r="V26" s="11" cm="1">
        <f t="array" ref="V26">ROUND(SUMIFS(PUNTO,STAFF,$H26,FECHA,V$2),2)</f>
        <v>2.0699999999999998</v>
      </c>
      <c r="W26" s="11" cm="1">
        <f t="array" ref="W26">ROUND(SUMIFS(PUNTO,STAFF,$H26,FECHA,W$2),2)</f>
        <v>0</v>
      </c>
      <c r="X26" s="11" cm="1">
        <f t="array" ref="X26">ROUND(SUMIFS(PUNTO,STAFF,$H26,FECHA,X$2),2)</f>
        <v>0</v>
      </c>
      <c r="Y26" s="11" cm="1">
        <f t="array" ref="Y26">ROUND(SUMIFS(PUNTO,STAFF,$H26,FECHA,Y$2),2)</f>
        <v>2.19</v>
      </c>
      <c r="Z26" s="11" cm="1">
        <f t="array" ref="Z26">ROUND(SUMIFS(PUNTO,STAFF,$H26,FECHA,Z$2),2)</f>
        <v>0</v>
      </c>
      <c r="AA26" s="11" cm="1">
        <f t="array" ref="AA26">ROUND(SUMIFS(PUNTO,STAFF,$H26,FECHA,AA$2),2)</f>
        <v>0</v>
      </c>
      <c r="AB26" s="11" cm="1">
        <f t="array" ref="AB26">ROUND(SUMIFS(PUNTO,STAFF,$H26,FECHA,AB$2),2)</f>
        <v>0</v>
      </c>
      <c r="AC26" s="11" cm="1">
        <f t="array" ref="AC26">ROUND(SUMIFS(PUNTO,STAFF,$H26,FECHA,AC$2),2)</f>
        <v>2.08</v>
      </c>
      <c r="AD26" s="11" cm="1">
        <f t="array" ref="AD26">ROUND(SUMIFS(PUNTO,STAFF,$H26,FECHA,AD$2),2)</f>
        <v>0</v>
      </c>
      <c r="AE26" s="11" cm="1">
        <f t="array" ref="AE26">ROUND(SUMIFS(PUNTO,STAFF,$H26,FECHA,AE$2),2)</f>
        <v>0</v>
      </c>
      <c r="AF26" s="11" cm="1">
        <f t="array" ref="AF26">ROUND(SUMIFS(PUNTO,STAFF,$H26,FECHA,AF$2),2)</f>
        <v>2.06</v>
      </c>
      <c r="AG26" s="11" cm="1">
        <f t="array" ref="AG26">ROUND(SUMIFS(PUNTO,STAFF,$H26,FECHA,AG$2),2)</f>
        <v>0</v>
      </c>
      <c r="AH26" s="11" cm="1">
        <f t="array" ref="AH26">ROUND(SUMIFS(PUNTO,STAFF,$H26,FECHA,AH$2),2)</f>
        <v>0</v>
      </c>
      <c r="AI26" s="11" cm="1">
        <f t="array" ref="AI26">ROUND(SUMIFS(PUNTO,STAFF,$H26,FECHA,AI$2),2)</f>
        <v>0</v>
      </c>
      <c r="AJ26" s="11" cm="1">
        <f t="array" ref="AJ26">ROUND(SUMIFS(PUNTO,STAFF,$H26,FECHA,AJ$2),2)</f>
        <v>2.0099999999999998</v>
      </c>
      <c r="AK26" s="11" cm="1">
        <f t="array" ref="AK26">ROUND(SUMIFS(PUNTO,STAFF,$H26,FECHA,AK$2),2)</f>
        <v>0</v>
      </c>
      <c r="AL26" s="11" cm="1">
        <f t="array" ref="AL26">ROUND(SUMIFS(PUNTO,STAFF,$H26,FECHA,AL$2),2)</f>
        <v>0</v>
      </c>
      <c r="AM26" s="11" cm="1">
        <f t="array" ref="AM26">ROUND(SUMIFS(PUNTO,STAFF,$H26,FECHA,AM$2),2)</f>
        <v>0</v>
      </c>
      <c r="AN26" s="26">
        <f t="shared" si="1"/>
        <v>12.74</v>
      </c>
      <c r="AO26" s="26">
        <v>10.120000000000001</v>
      </c>
      <c r="AP26" s="27">
        <f>AN26+AO26</f>
        <v>22.86</v>
      </c>
      <c r="AQ26" s="26"/>
      <c r="AR26" s="26"/>
      <c r="AS26" s="26"/>
      <c r="AT26" s="26"/>
      <c r="AU26" s="26"/>
      <c r="AV26" s="26"/>
      <c r="AW26" s="26"/>
      <c r="AX26" s="25">
        <f t="shared" si="2"/>
        <v>22.86</v>
      </c>
    </row>
    <row r="27" spans="1:50" x14ac:dyDescent="0.3">
      <c r="A27" s="41">
        <v>46025</v>
      </c>
      <c r="B27" s="42" t="s">
        <v>31</v>
      </c>
      <c r="C27" s="43">
        <v>0.30208333333333331</v>
      </c>
      <c r="D27" s="43">
        <v>0.3659722222222222</v>
      </c>
      <c r="E27" s="44">
        <f t="shared" si="0"/>
        <v>6.3888888888888884E-2</v>
      </c>
      <c r="F27" s="45">
        <f t="shared" si="3"/>
        <v>0.26</v>
      </c>
      <c r="G27" s="46"/>
      <c r="H27" s="21" t="s">
        <v>45</v>
      </c>
      <c r="I27" s="19" cm="1">
        <f t="array" ref="I27">ROUND(SUMIFS(PUNTO,STAFF,$H27,FECHA,I$2),2)</f>
        <v>3.94</v>
      </c>
      <c r="J27" s="19" cm="1">
        <f t="array" ref="J27">ROUND(SUMIFS(PUNTO,STAFF,$H27,FECHA,J$2),2)</f>
        <v>0</v>
      </c>
      <c r="K27" s="19" cm="1">
        <f t="array" ref="K27">ROUND(SUMIFS(PUNTO,STAFF,$H27,FECHA,K$2),2)</f>
        <v>1.99</v>
      </c>
      <c r="L27" s="19" cm="1">
        <f t="array" ref="L27">ROUND(SUMIFS(PUNTO,STAFF,$H27,FECHA,L$2),2)</f>
        <v>0</v>
      </c>
      <c r="M27" s="19" cm="1">
        <f t="array" ref="M27">ROUND(SUMIFS(PUNTO,STAFF,$H27,FECHA,M$2),2)</f>
        <v>2.23</v>
      </c>
      <c r="N27" s="19" cm="1">
        <f t="array" ref="N27">ROUND(SUMIFS(PUNTO,STAFF,$H27,FECHA,N$2),2)</f>
        <v>2.02</v>
      </c>
      <c r="O27" s="19" cm="1">
        <f t="array" ref="O27">ROUND(SUMIFS(PUNTO,STAFF,$H27,FECHA,O$2),2)</f>
        <v>0</v>
      </c>
      <c r="P27" s="19" cm="1">
        <f t="array" ref="P27">ROUND(SUMIFS(PUNTO,STAFF,$H27,FECHA,P$2),2)</f>
        <v>1.5</v>
      </c>
      <c r="Q27" s="19" cm="1">
        <f t="array" ref="Q27">ROUND(SUMIFS(PUNTO,STAFF,$H27,FECHA,Q$2),2)</f>
        <v>2.12</v>
      </c>
      <c r="R27" s="19" cm="1">
        <f t="array" ref="R27">ROUND(SUMIFS(PUNTO,STAFF,$H27,FECHA,R$2),2)</f>
        <v>0.33</v>
      </c>
      <c r="S27" s="19" cm="1">
        <f t="array" ref="S27">ROUND(SUMIFS(PUNTO,STAFF,$H27,FECHA,S$2),2)</f>
        <v>0</v>
      </c>
      <c r="T27" s="19" cm="1">
        <f t="array" ref="T27">ROUND(SUMIFS(PUNTO,STAFF,$H27,FECHA,T$2),2)</f>
        <v>2.02</v>
      </c>
      <c r="U27" s="19" cm="1">
        <f t="array" ref="U27">ROUND(SUMIFS(PUNTO,STAFF,$H27,FECHA,U$2),2)</f>
        <v>2.09</v>
      </c>
      <c r="V27" s="19" cm="1">
        <f t="array" ref="V27">ROUND(SUMIFS(PUNTO,STAFF,$H27,FECHA,V$2),2)</f>
        <v>0</v>
      </c>
      <c r="W27" s="19" cm="1">
        <f t="array" ref="W27">ROUND(SUMIFS(PUNTO,STAFF,$H27,FECHA,W$2),2)</f>
        <v>1.74</v>
      </c>
      <c r="X27" s="19" cm="1">
        <f t="array" ref="X27">ROUND(SUMIFS(PUNTO,STAFF,$H27,FECHA,X$2),2)</f>
        <v>2.37</v>
      </c>
      <c r="Y27" s="19" cm="1">
        <f t="array" ref="Y27">ROUND(SUMIFS(PUNTO,STAFF,$H27,FECHA,Y$2),2)</f>
        <v>1.04</v>
      </c>
      <c r="Z27" s="19" cm="1">
        <f t="array" ref="Z27">ROUND(SUMIFS(PUNTO,STAFF,$H27,FECHA,Z$2),2)</f>
        <v>0</v>
      </c>
      <c r="AA27" s="19" cm="1">
        <f t="array" ref="AA27">ROUND(SUMIFS(PUNTO,STAFF,$H27,FECHA,AA$2),2)</f>
        <v>2.3199999999999998</v>
      </c>
      <c r="AB27" s="19" cm="1">
        <f t="array" ref="AB27">ROUND(SUMIFS(PUNTO,STAFF,$H27,FECHA,AB$2),2)</f>
        <v>2.02</v>
      </c>
      <c r="AC27" s="19" cm="1">
        <f t="array" ref="AC27">ROUND(SUMIFS(PUNTO,STAFF,$H27,FECHA,AC$2),2)</f>
        <v>0</v>
      </c>
      <c r="AD27" s="19" cm="1">
        <f t="array" ref="AD27">ROUND(SUMIFS(PUNTO,STAFF,$H27,FECHA,AD$2),2)</f>
        <v>0.97</v>
      </c>
      <c r="AE27" s="19" cm="1">
        <f t="array" ref="AE27">ROUND(SUMIFS(PUNTO,STAFF,$H27,FECHA,AE$2),2)</f>
        <v>2.1</v>
      </c>
      <c r="AF27" s="19" cm="1">
        <f t="array" ref="AF27">ROUND(SUMIFS(PUNTO,STAFF,$H27,FECHA,AF$2),2)</f>
        <v>0.98</v>
      </c>
      <c r="AG27" s="19" cm="1">
        <f t="array" ref="AG27">ROUND(SUMIFS(PUNTO,STAFF,$H27,FECHA,AG$2),2)</f>
        <v>0</v>
      </c>
      <c r="AH27" s="19" cm="1">
        <f t="array" ref="AH27">ROUND(SUMIFS(PUNTO,STAFF,$H27,FECHA,AH$2),2)</f>
        <v>1.93</v>
      </c>
      <c r="AI27" s="19" cm="1">
        <f t="array" ref="AI27">ROUND(SUMIFS(PUNTO,STAFF,$H27,FECHA,AI$2),2)</f>
        <v>2.0099999999999998</v>
      </c>
      <c r="AJ27" s="19" cm="1">
        <f t="array" ref="AJ27">ROUND(SUMIFS(PUNTO,STAFF,$H27,FECHA,AJ$2),2)</f>
        <v>0</v>
      </c>
      <c r="AK27" s="19" cm="1">
        <f t="array" ref="AK27">ROUND(SUMIFS(PUNTO,STAFF,$H27,FECHA,AK$2),2)</f>
        <v>0</v>
      </c>
      <c r="AL27" s="19" cm="1">
        <f t="array" ref="AL27">ROUND(SUMIFS(PUNTO,STAFF,$H27,FECHA,AL$2),2)</f>
        <v>1.79</v>
      </c>
      <c r="AM27" s="19" cm="1">
        <f t="array" ref="AM27">ROUND(SUMIFS(PUNTO,STAFF,$H27,FECHA,AM$2),2)</f>
        <v>2.29</v>
      </c>
      <c r="AN27" s="27">
        <f t="shared" si="1"/>
        <v>39.799999999999997</v>
      </c>
      <c r="AO27" s="27"/>
      <c r="AP27" s="27">
        <f>AN27+AO27</f>
        <v>39.799999999999997</v>
      </c>
      <c r="AQ27" s="27">
        <f>AP27*$AQ$2</f>
        <v>3.98</v>
      </c>
      <c r="AR27" s="27"/>
      <c r="AS27" s="27"/>
      <c r="AT27" s="27"/>
      <c r="AU27" s="27"/>
      <c r="AV27" s="27"/>
      <c r="AW27" s="27"/>
      <c r="AX27" s="25">
        <f t="shared" si="2"/>
        <v>43.779999999999994</v>
      </c>
    </row>
    <row r="28" spans="1:50" x14ac:dyDescent="0.3">
      <c r="A28" s="4">
        <v>46025</v>
      </c>
      <c r="B28" s="1" t="s">
        <v>38</v>
      </c>
      <c r="C28" s="2">
        <v>0.30208333333333331</v>
      </c>
      <c r="D28" s="2">
        <v>0.8041666666666667</v>
      </c>
      <c r="E28" s="5">
        <f t="shared" si="0"/>
        <v>0.50208333333333344</v>
      </c>
      <c r="F28" s="6">
        <f t="shared" si="3"/>
        <v>2.0099999999999998</v>
      </c>
      <c r="H28" s="24" t="s">
        <v>5</v>
      </c>
      <c r="I28" s="11" cm="1">
        <f t="array" ref="I28">ROUND(SUMIFS(PUNTO,STAFF,$H28,FECHA,I$2),2)</f>
        <v>0</v>
      </c>
      <c r="J28" s="11" cm="1">
        <f t="array" ref="J28">ROUND(SUMIFS(PUNTO,STAFF,$H28,FECHA,J$2),2)</f>
        <v>1.86</v>
      </c>
      <c r="K28" s="11" cm="1">
        <f t="array" ref="K28">ROUND(SUMIFS(PUNTO,STAFF,$H28,FECHA,K$2),2)</f>
        <v>0</v>
      </c>
      <c r="L28" s="11" cm="1">
        <f t="array" ref="L28">ROUND(SUMIFS(PUNTO,STAFF,$H28,FECHA,L$2),2)</f>
        <v>0</v>
      </c>
      <c r="M28" s="11" cm="1">
        <f t="array" ref="M28">ROUND(SUMIFS(PUNTO,STAFF,$H28,FECHA,M$2),2)</f>
        <v>0</v>
      </c>
      <c r="N28" s="11" cm="1">
        <f t="array" ref="N28">ROUND(SUMIFS(PUNTO,STAFF,$H28,FECHA,N$2),2)</f>
        <v>0</v>
      </c>
      <c r="O28" s="11" cm="1">
        <f t="array" ref="O28">ROUND(SUMIFS(PUNTO,STAFF,$H28,FECHA,O$2),2)</f>
        <v>2.02</v>
      </c>
      <c r="P28" s="11" cm="1">
        <f t="array" ref="P28">ROUND(SUMIFS(PUNTO,STAFF,$H28,FECHA,P$2),2)</f>
        <v>0</v>
      </c>
      <c r="Q28" s="11" cm="1">
        <f t="array" ref="Q28">ROUND(SUMIFS(PUNTO,STAFF,$H28,FECHA,Q$2),2)</f>
        <v>2.2400000000000002</v>
      </c>
      <c r="R28" s="11" cm="1">
        <f t="array" ref="R28">ROUND(SUMIFS(PUNTO,STAFF,$H28,FECHA,R$2),2)</f>
        <v>2.29</v>
      </c>
      <c r="S28" s="11" cm="1">
        <f t="array" ref="S28">ROUND(SUMIFS(PUNTO,STAFF,$H28,FECHA,S$2),2)</f>
        <v>0</v>
      </c>
      <c r="T28" s="11" cm="1">
        <f t="array" ref="T28">ROUND(SUMIFS(PUNTO,STAFF,$H28,FECHA,T$2),2)</f>
        <v>2.73</v>
      </c>
      <c r="U28" s="11" cm="1">
        <f t="array" ref="U28">ROUND(SUMIFS(PUNTO,STAFF,$H28,FECHA,U$2),2)</f>
        <v>0</v>
      </c>
      <c r="V28" s="11" cm="1">
        <f t="array" ref="V28">ROUND(SUMIFS(PUNTO,STAFF,$H28,FECHA,V$2),2)</f>
        <v>2.11</v>
      </c>
      <c r="W28" s="11" cm="1">
        <f t="array" ref="W28">ROUND(SUMIFS(PUNTO,STAFF,$H28,FECHA,W$2),2)</f>
        <v>0</v>
      </c>
      <c r="X28" s="11" cm="1">
        <f t="array" ref="X28">ROUND(SUMIFS(PUNTO,STAFF,$H28,FECHA,X$2),2)</f>
        <v>2.06</v>
      </c>
      <c r="Y28" s="11" cm="1">
        <f t="array" ref="Y28">ROUND(SUMIFS(PUNTO,STAFF,$H28,FECHA,Y$2),2)</f>
        <v>1.1499999999999999</v>
      </c>
      <c r="Z28" s="11" cm="1">
        <f t="array" ref="Z28">ROUND(SUMIFS(PUNTO,STAFF,$H28,FECHA,Z$2),2)</f>
        <v>2.0099999999999998</v>
      </c>
      <c r="AA28" s="11" cm="1">
        <f t="array" ref="AA28">ROUND(SUMIFS(PUNTO,STAFF,$H28,FECHA,AA$2),2)</f>
        <v>0</v>
      </c>
      <c r="AB28" s="11" cm="1">
        <f t="array" ref="AB28">ROUND(SUMIFS(PUNTO,STAFF,$H28,FECHA,AB$2),2)</f>
        <v>0</v>
      </c>
      <c r="AC28" s="11" cm="1">
        <f t="array" ref="AC28">ROUND(SUMIFS(PUNTO,STAFF,$H28,FECHA,AC$2),2)</f>
        <v>2.0699999999999998</v>
      </c>
      <c r="AD28" s="11" cm="1">
        <f t="array" ref="AD28">ROUND(SUMIFS(PUNTO,STAFF,$H28,FECHA,AD$2),2)</f>
        <v>0</v>
      </c>
      <c r="AE28" s="11" cm="1">
        <f t="array" ref="AE28">ROUND(SUMIFS(PUNTO,STAFF,$H28,FECHA,AE$2),2)</f>
        <v>2.13</v>
      </c>
      <c r="AF28" s="11" cm="1">
        <f t="array" ref="AF28">ROUND(SUMIFS(PUNTO,STAFF,$H28,FECHA,AF$2),2)</f>
        <v>0.35</v>
      </c>
      <c r="AG28" s="11" cm="1">
        <f t="array" ref="AG28">ROUND(SUMIFS(PUNTO,STAFF,$H28,FECHA,AG$2),2)</f>
        <v>0</v>
      </c>
      <c r="AH28" s="11" cm="1">
        <f t="array" ref="AH28">ROUND(SUMIFS(PUNTO,STAFF,$H28,FECHA,AH$2),2)</f>
        <v>1.1299999999999999</v>
      </c>
      <c r="AI28" s="11" cm="1">
        <f t="array" ref="AI28">ROUND(SUMIFS(PUNTO,STAFF,$H28,FECHA,AI$2),2)</f>
        <v>0</v>
      </c>
      <c r="AJ28" s="11" cm="1">
        <f t="array" ref="AJ28">ROUND(SUMIFS(PUNTO,STAFF,$H28,FECHA,AJ$2),2)</f>
        <v>1.98</v>
      </c>
      <c r="AK28" s="11" cm="1">
        <f t="array" ref="AK28">ROUND(SUMIFS(PUNTO,STAFF,$H28,FECHA,AK$2),2)</f>
        <v>0</v>
      </c>
      <c r="AL28" s="11" cm="1">
        <f t="array" ref="AL28">ROUND(SUMIFS(PUNTO,STAFF,$H28,FECHA,AL$2),2)</f>
        <v>1.95</v>
      </c>
      <c r="AM28" s="11" cm="1">
        <f t="array" ref="AM28">ROUND(SUMIFS(PUNTO,STAFF,$H28,FECHA,AM$2),2)</f>
        <v>2.0699999999999998</v>
      </c>
      <c r="AN28" s="26">
        <f t="shared" si="1"/>
        <v>30.15</v>
      </c>
      <c r="AO28" s="26"/>
      <c r="AP28" s="27">
        <f>AN28+AO28</f>
        <v>30.15</v>
      </c>
      <c r="AQ28" s="26">
        <f>AP28*$AQ$2</f>
        <v>3.0150000000000001</v>
      </c>
      <c r="AR28" s="26"/>
      <c r="AS28" s="26"/>
      <c r="AT28" s="26"/>
      <c r="AU28" s="26"/>
      <c r="AV28" s="26"/>
      <c r="AW28" s="26"/>
      <c r="AX28" s="25">
        <f t="shared" si="2"/>
        <v>33.164999999999999</v>
      </c>
    </row>
    <row r="29" spans="1:50" x14ac:dyDescent="0.3">
      <c r="A29" s="41">
        <v>46025</v>
      </c>
      <c r="B29" s="42" t="s">
        <v>24</v>
      </c>
      <c r="C29" s="43">
        <v>0.31041666666666667</v>
      </c>
      <c r="D29" s="43">
        <v>0.65625</v>
      </c>
      <c r="E29" s="44">
        <f t="shared" si="0"/>
        <v>0.34583333333333333</v>
      </c>
      <c r="F29" s="45">
        <f t="shared" si="3"/>
        <v>1.38</v>
      </c>
      <c r="G29" s="46"/>
      <c r="H29" s="21" t="s">
        <v>46</v>
      </c>
      <c r="I29" s="19" cm="1">
        <f t="array" ref="I29">ROUND(SUMIFS(PUNTO,STAFF,$H29,FECHA,I$2),2)</f>
        <v>0</v>
      </c>
      <c r="J29" s="19" cm="1">
        <f t="array" ref="J29">ROUND(SUMIFS(PUNTO,STAFF,$H29,FECHA,J$2),2)</f>
        <v>0</v>
      </c>
      <c r="K29" s="19" cm="1">
        <f t="array" ref="K29">ROUND(SUMIFS(PUNTO,STAFF,$H29,FECHA,K$2),2)</f>
        <v>0</v>
      </c>
      <c r="L29" s="19" cm="1">
        <f t="array" ref="L29">ROUND(SUMIFS(PUNTO,STAFF,$H29,FECHA,L$2),2)</f>
        <v>0</v>
      </c>
      <c r="M29" s="19" cm="1">
        <f t="array" ref="M29">ROUND(SUMIFS(PUNTO,STAFF,$H29,FECHA,M$2),2)</f>
        <v>0</v>
      </c>
      <c r="N29" s="19" cm="1">
        <f t="array" ref="N29">ROUND(SUMIFS(PUNTO,STAFF,$H29,FECHA,N$2),2)</f>
        <v>0</v>
      </c>
      <c r="O29" s="19" cm="1">
        <f t="array" ref="O29">ROUND(SUMIFS(PUNTO,STAFF,$H29,FECHA,O$2),2)</f>
        <v>0</v>
      </c>
      <c r="P29" s="19" cm="1">
        <f t="array" ref="P29">ROUND(SUMIFS(PUNTO,STAFF,$H29,FECHA,P$2),2)</f>
        <v>0</v>
      </c>
      <c r="Q29" s="19" cm="1">
        <f t="array" ref="Q29">ROUND(SUMIFS(PUNTO,STAFF,$H29,FECHA,Q$2),2)</f>
        <v>0</v>
      </c>
      <c r="R29" s="19" cm="1">
        <f t="array" ref="R29">ROUND(SUMIFS(PUNTO,STAFF,$H29,FECHA,R$2),2)</f>
        <v>0</v>
      </c>
      <c r="S29" s="19" cm="1">
        <f t="array" ref="S29">ROUND(SUMIFS(PUNTO,STAFF,$H29,FECHA,S$2),2)</f>
        <v>0</v>
      </c>
      <c r="T29" s="19" cm="1">
        <f t="array" ref="T29">ROUND(SUMIFS(PUNTO,STAFF,$H29,FECHA,T$2),2)</f>
        <v>0</v>
      </c>
      <c r="U29" s="19" cm="1">
        <f t="array" ref="U29">ROUND(SUMIFS(PUNTO,STAFF,$H29,FECHA,U$2),2)</f>
        <v>0</v>
      </c>
      <c r="V29" s="19" cm="1">
        <f t="array" ref="V29">ROUND(SUMIFS(PUNTO,STAFF,$H29,FECHA,V$2),2)</f>
        <v>0</v>
      </c>
      <c r="W29" s="19" cm="1">
        <f t="array" ref="W29">ROUND(SUMIFS(PUNTO,STAFF,$H29,FECHA,W$2),2)</f>
        <v>0</v>
      </c>
      <c r="X29" s="19" cm="1">
        <f t="array" ref="X29">ROUND(SUMIFS(PUNTO,STAFF,$H29,FECHA,X$2),2)</f>
        <v>1.76</v>
      </c>
      <c r="Y29" s="19" cm="1">
        <f t="array" ref="Y29">ROUND(SUMIFS(PUNTO,STAFF,$H29,FECHA,Y$2),2)</f>
        <v>0</v>
      </c>
      <c r="Z29" s="19" cm="1">
        <f t="array" ref="Z29">ROUND(SUMIFS(PUNTO,STAFF,$H29,FECHA,Z$2),2)</f>
        <v>1.99</v>
      </c>
      <c r="AA29" s="19" cm="1">
        <f t="array" ref="AA29">ROUND(SUMIFS(PUNTO,STAFF,$H29,FECHA,AA$2),2)</f>
        <v>0</v>
      </c>
      <c r="AB29" s="19" cm="1">
        <f t="array" ref="AB29">ROUND(SUMIFS(PUNTO,STAFF,$H29,FECHA,AB$2),2)</f>
        <v>0</v>
      </c>
      <c r="AC29" s="19" cm="1">
        <f t="array" ref="AC29">ROUND(SUMIFS(PUNTO,STAFF,$H29,FECHA,AC$2),2)</f>
        <v>0</v>
      </c>
      <c r="AD29" s="19" cm="1">
        <f t="array" ref="AD29">ROUND(SUMIFS(PUNTO,STAFF,$H29,FECHA,AD$2),2)</f>
        <v>0</v>
      </c>
      <c r="AE29" s="19" cm="1">
        <f t="array" ref="AE29">ROUND(SUMIFS(PUNTO,STAFF,$H29,FECHA,AE$2),2)</f>
        <v>1.97</v>
      </c>
      <c r="AF29" s="19" cm="1">
        <f t="array" ref="AF29">ROUND(SUMIFS(PUNTO,STAFF,$H29,FECHA,AF$2),2)</f>
        <v>0.97</v>
      </c>
      <c r="AG29" s="19" cm="1">
        <f t="array" ref="AG29">ROUND(SUMIFS(PUNTO,STAFF,$H29,FECHA,AG$2),2)</f>
        <v>0</v>
      </c>
      <c r="AH29" s="19" cm="1">
        <f t="array" ref="AH29">ROUND(SUMIFS(PUNTO,STAFF,$H29,FECHA,AH$2),2)</f>
        <v>2.0499999999999998</v>
      </c>
      <c r="AI29" s="19" cm="1">
        <f t="array" ref="AI29">ROUND(SUMIFS(PUNTO,STAFF,$H29,FECHA,AI$2),2)</f>
        <v>0</v>
      </c>
      <c r="AJ29" s="19" cm="1">
        <f t="array" ref="AJ29">ROUND(SUMIFS(PUNTO,STAFF,$H29,FECHA,AJ$2),2)</f>
        <v>0</v>
      </c>
      <c r="AK29" s="19" cm="1">
        <f t="array" ref="AK29">ROUND(SUMIFS(PUNTO,STAFF,$H29,FECHA,AK$2),2)</f>
        <v>2.09</v>
      </c>
      <c r="AL29" s="19" cm="1">
        <f t="array" ref="AL29">ROUND(SUMIFS(PUNTO,STAFF,$H29,FECHA,AL$2),2)</f>
        <v>1.97</v>
      </c>
      <c r="AM29" s="19" cm="1">
        <f t="array" ref="AM29">ROUND(SUMIFS(PUNTO,STAFF,$H29,FECHA,AM$2),2)</f>
        <v>2.13</v>
      </c>
      <c r="AN29" s="27">
        <f t="shared" si="1"/>
        <v>14.93</v>
      </c>
      <c r="AO29" s="27"/>
      <c r="AP29" s="27">
        <f>AN29+AO29</f>
        <v>14.93</v>
      </c>
      <c r="AQ29" s="27">
        <f>AP29*$AQ$2</f>
        <v>1.4930000000000001</v>
      </c>
      <c r="AR29" s="27"/>
      <c r="AS29" s="27"/>
      <c r="AT29" s="27"/>
      <c r="AU29" s="27"/>
      <c r="AV29" s="27"/>
      <c r="AW29" s="27">
        <v>12.4375</v>
      </c>
      <c r="AX29" s="25">
        <f t="shared" si="2"/>
        <v>28.860499999999998</v>
      </c>
    </row>
    <row r="30" spans="1:50" x14ac:dyDescent="0.3">
      <c r="A30" s="4">
        <v>46025</v>
      </c>
      <c r="B30" s="1" t="s">
        <v>51</v>
      </c>
      <c r="C30" s="2">
        <v>0.37569444444444444</v>
      </c>
      <c r="D30" s="2">
        <v>0.77777777777777779</v>
      </c>
      <c r="E30" s="5">
        <f t="shared" si="0"/>
        <v>0.40208333333333335</v>
      </c>
      <c r="F30" s="6">
        <f t="shared" si="3"/>
        <v>1.61</v>
      </c>
      <c r="H30" s="24" t="s">
        <v>47</v>
      </c>
      <c r="I30" s="11" cm="1">
        <f t="array" ref="I30">ROUND(SUMIFS(PUNTO,STAFF,$H30,FECHA,I$2),2)</f>
        <v>2.0499999999999998</v>
      </c>
      <c r="J30" s="11" cm="1">
        <f t="array" ref="J30">ROUND(SUMIFS(PUNTO,STAFF,$H30,FECHA,J$2),2)</f>
        <v>0</v>
      </c>
      <c r="K30" s="11" cm="1">
        <f t="array" ref="K30">ROUND(SUMIFS(PUNTO,STAFF,$H30,FECHA,K$2),2)</f>
        <v>0</v>
      </c>
      <c r="L30" s="11" cm="1">
        <f t="array" ref="L30">ROUND(SUMIFS(PUNTO,STAFF,$H30,FECHA,L$2),2)</f>
        <v>0.77</v>
      </c>
      <c r="M30" s="11" cm="1">
        <f t="array" ref="M30">ROUND(SUMIFS(PUNTO,STAFF,$H30,FECHA,M$2),2)</f>
        <v>2.0499999999999998</v>
      </c>
      <c r="N30" s="11" cm="1">
        <f t="array" ref="N30">ROUND(SUMIFS(PUNTO,STAFF,$H30,FECHA,N$2),2)</f>
        <v>2.2400000000000002</v>
      </c>
      <c r="O30" s="11" cm="1">
        <f t="array" ref="O30">ROUND(SUMIFS(PUNTO,STAFF,$H30,FECHA,O$2),2)</f>
        <v>3.03</v>
      </c>
      <c r="P30" s="11" cm="1">
        <f t="array" ref="P30">ROUND(SUMIFS(PUNTO,STAFF,$H30,FECHA,P$2),2)</f>
        <v>2.04</v>
      </c>
      <c r="Q30" s="11" cm="1">
        <f t="array" ref="Q30">ROUND(SUMIFS(PUNTO,STAFF,$H30,FECHA,Q$2),2)</f>
        <v>0</v>
      </c>
      <c r="R30" s="11" cm="1">
        <f t="array" ref="R30">ROUND(SUMIFS(PUNTO,STAFF,$H30,FECHA,R$2),2)</f>
        <v>2.34</v>
      </c>
      <c r="S30" s="11" cm="1">
        <f t="array" ref="S30">ROUND(SUMIFS(PUNTO,STAFF,$H30,FECHA,S$2),2)</f>
        <v>0</v>
      </c>
      <c r="T30" s="11" cm="1">
        <f t="array" ref="T30">ROUND(SUMIFS(PUNTO,STAFF,$H30,FECHA,T$2),2)</f>
        <v>2.02</v>
      </c>
      <c r="U30" s="11" cm="1">
        <f t="array" ref="U30">ROUND(SUMIFS(PUNTO,STAFF,$H30,FECHA,U$2),2)</f>
        <v>2.0099999999999998</v>
      </c>
      <c r="V30" s="11" cm="1">
        <f t="array" ref="V30">ROUND(SUMIFS(PUNTO,STAFF,$H30,FECHA,V$2),2)</f>
        <v>2.98</v>
      </c>
      <c r="W30" s="11" cm="1">
        <f t="array" ref="W30">ROUND(SUMIFS(PUNTO,STAFF,$H30,FECHA,W$2),2)</f>
        <v>2.0499999999999998</v>
      </c>
      <c r="X30" s="11" cm="1">
        <f t="array" ref="X30">ROUND(SUMIFS(PUNTO,STAFF,$H30,FECHA,X$2),2)</f>
        <v>0</v>
      </c>
      <c r="Y30" s="11" cm="1">
        <f t="array" ref="Y30">ROUND(SUMIFS(PUNTO,STAFF,$H30,FECHA,Y$2),2)</f>
        <v>2.13</v>
      </c>
      <c r="Z30" s="11" cm="1">
        <f t="array" ref="Z30">ROUND(SUMIFS(PUNTO,STAFF,$H30,FECHA,Z$2),2)</f>
        <v>1.41</v>
      </c>
      <c r="AA30" s="11" cm="1">
        <f t="array" ref="AA30">ROUND(SUMIFS(PUNTO,STAFF,$H30,FECHA,AA$2),2)</f>
        <v>0</v>
      </c>
      <c r="AB30" s="11" cm="1">
        <f t="array" ref="AB30">ROUND(SUMIFS(PUNTO,STAFF,$H30,FECHA,AB$2),2)</f>
        <v>1.98</v>
      </c>
      <c r="AC30" s="11" cm="1">
        <f t="array" ref="AC30">ROUND(SUMIFS(PUNTO,STAFF,$H30,FECHA,AC$2),2)</f>
        <v>2.58</v>
      </c>
      <c r="AD30" s="11" cm="1">
        <f t="array" ref="AD30">ROUND(SUMIFS(PUNTO,STAFF,$H30,FECHA,AD$2),2)</f>
        <v>2.06</v>
      </c>
      <c r="AE30" s="11" cm="1">
        <f t="array" ref="AE30">ROUND(SUMIFS(PUNTO,STAFF,$H30,FECHA,AE$2),2)</f>
        <v>0</v>
      </c>
      <c r="AF30" s="11" cm="1">
        <f t="array" ref="AF30">ROUND(SUMIFS(PUNTO,STAFF,$H30,FECHA,AF$2),2)</f>
        <v>1.89</v>
      </c>
      <c r="AG30" s="11" cm="1">
        <f t="array" ref="AG30">ROUND(SUMIFS(PUNTO,STAFF,$H30,FECHA,AG$2),2)</f>
        <v>0</v>
      </c>
      <c r="AH30" s="11" cm="1">
        <f t="array" ref="AH30">ROUND(SUMIFS(PUNTO,STAFF,$H30,FECHA,AH$2),2)</f>
        <v>0</v>
      </c>
      <c r="AI30" s="11" cm="1">
        <f t="array" ref="AI30">ROUND(SUMIFS(PUNTO,STAFF,$H30,FECHA,AI$2),2)</f>
        <v>1.96</v>
      </c>
      <c r="AJ30" s="11" cm="1">
        <f t="array" ref="AJ30">ROUND(SUMIFS(PUNTO,STAFF,$H30,FECHA,AJ$2),2)</f>
        <v>3.17</v>
      </c>
      <c r="AK30" s="11" cm="1">
        <f t="array" ref="AK30">ROUND(SUMIFS(PUNTO,STAFF,$H30,FECHA,AK$2),2)</f>
        <v>2.0099999999999998</v>
      </c>
      <c r="AL30" s="11" cm="1">
        <f t="array" ref="AL30">ROUND(SUMIFS(PUNTO,STAFF,$H30,FECHA,AL$2),2)</f>
        <v>0</v>
      </c>
      <c r="AM30" s="11" cm="1">
        <f t="array" ref="AM30">ROUND(SUMIFS(PUNTO,STAFF,$H30,FECHA,AM$2),2)</f>
        <v>0</v>
      </c>
      <c r="AN30" s="26">
        <f t="shared" si="1"/>
        <v>42.77</v>
      </c>
      <c r="AO30" s="26"/>
      <c r="AP30" s="27">
        <f>AN30+AO30</f>
        <v>42.77</v>
      </c>
      <c r="AQ30" s="26">
        <f>AP30*$AQ$2</f>
        <v>4.2770000000000001</v>
      </c>
      <c r="AR30" s="26"/>
      <c r="AS30" s="26">
        <f>AP30*AS2</f>
        <v>2.1385000000000001</v>
      </c>
      <c r="AT30" s="26"/>
      <c r="AU30" s="26"/>
      <c r="AV30" s="26"/>
      <c r="AW30" s="26"/>
      <c r="AX30" s="25">
        <f t="shared" si="2"/>
        <v>49.185500000000005</v>
      </c>
    </row>
    <row r="31" spans="1:50" x14ac:dyDescent="0.3">
      <c r="A31" s="41">
        <v>46025</v>
      </c>
      <c r="B31" s="42" t="s">
        <v>63</v>
      </c>
      <c r="C31" s="43">
        <v>0.30555555555555558</v>
      </c>
      <c r="D31" s="43">
        <v>0.59583333333333333</v>
      </c>
      <c r="E31" s="44">
        <f t="shared" si="0"/>
        <v>0.29027777777777775</v>
      </c>
      <c r="F31" s="45">
        <f t="shared" si="3"/>
        <v>1.1599999999999999</v>
      </c>
      <c r="G31" s="46"/>
      <c r="H31" s="21" t="s">
        <v>7</v>
      </c>
      <c r="I31" s="19" cm="1">
        <f t="array" ref="I31">ROUND(SUMIFS(PUNTO,STAFF,$H31,FECHA,I$2),2)</f>
        <v>3.8</v>
      </c>
      <c r="J31" s="19" cm="1">
        <f t="array" ref="J31">ROUND(SUMIFS(PUNTO,STAFF,$H31,FECHA,J$2),2)</f>
        <v>2.02</v>
      </c>
      <c r="K31" s="19" cm="1">
        <f t="array" ref="K31">ROUND(SUMIFS(PUNTO,STAFF,$H31,FECHA,K$2),2)</f>
        <v>0</v>
      </c>
      <c r="L31" s="19" cm="1">
        <f t="array" ref="L31">ROUND(SUMIFS(PUNTO,STAFF,$H31,FECHA,L$2),2)</f>
        <v>1.29</v>
      </c>
      <c r="M31" s="19" cm="1">
        <f t="array" ref="M31">ROUND(SUMIFS(PUNTO,STAFF,$H31,FECHA,M$2),2)</f>
        <v>0</v>
      </c>
      <c r="N31" s="19" cm="1">
        <f t="array" ref="N31">ROUND(SUMIFS(PUNTO,STAFF,$H31,FECHA,N$2),2)</f>
        <v>1.98</v>
      </c>
      <c r="O31" s="19" cm="1">
        <f t="array" ref="O31">ROUND(SUMIFS(PUNTO,STAFF,$H31,FECHA,O$2),2)</f>
        <v>0</v>
      </c>
      <c r="P31" s="19" cm="1">
        <f t="array" ref="P31">ROUND(SUMIFS(PUNTO,STAFF,$H31,FECHA,P$2),2)</f>
        <v>3.04</v>
      </c>
      <c r="Q31" s="19" cm="1">
        <f t="array" ref="Q31">ROUND(SUMIFS(PUNTO,STAFF,$H31,FECHA,Q$2),2)</f>
        <v>1.99</v>
      </c>
      <c r="R31" s="19" cm="1">
        <f t="array" ref="R31">ROUND(SUMIFS(PUNTO,STAFF,$H31,FECHA,R$2),2)</f>
        <v>0</v>
      </c>
      <c r="S31" s="19" cm="1">
        <f t="array" ref="S31">ROUND(SUMIFS(PUNTO,STAFF,$H31,FECHA,S$2),2)</f>
        <v>1.98</v>
      </c>
      <c r="T31" s="19" cm="1">
        <f t="array" ref="T31">ROUND(SUMIFS(PUNTO,STAFF,$H31,FECHA,T$2),2)</f>
        <v>0</v>
      </c>
      <c r="U31" s="19" cm="1">
        <f t="array" ref="U31">ROUND(SUMIFS(PUNTO,STAFF,$H31,FECHA,U$2),2)</f>
        <v>2.34</v>
      </c>
      <c r="V31" s="19" cm="1">
        <f t="array" ref="V31">ROUND(SUMIFS(PUNTO,STAFF,$H31,FECHA,V$2),2)</f>
        <v>0</v>
      </c>
      <c r="W31" s="19" cm="1">
        <f t="array" ref="W31">ROUND(SUMIFS(PUNTO,STAFF,$H31,FECHA,W$2),2)</f>
        <v>1.76</v>
      </c>
      <c r="X31" s="19" cm="1">
        <f t="array" ref="X31">ROUND(SUMIFS(PUNTO,STAFF,$H31,FECHA,X$2),2)</f>
        <v>2.2599999999999998</v>
      </c>
      <c r="Y31" s="19" cm="1">
        <f t="array" ref="Y31">ROUND(SUMIFS(PUNTO,STAFF,$H31,FECHA,Y$2),2)</f>
        <v>0</v>
      </c>
      <c r="Z31" s="19" cm="1">
        <f t="array" ref="Z31">ROUND(SUMIFS(PUNTO,STAFF,$H31,FECHA,Z$2),2)</f>
        <v>0</v>
      </c>
      <c r="AA31" s="19" cm="1">
        <f t="array" ref="AA31">ROUND(SUMIFS(PUNTO,STAFF,$H31,FECHA,AA$2),2)</f>
        <v>2.0499999999999998</v>
      </c>
      <c r="AB31" s="19" cm="1">
        <f t="array" ref="AB31">ROUND(SUMIFS(PUNTO,STAFF,$H31,FECHA,AB$2),2)</f>
        <v>0</v>
      </c>
      <c r="AC31" s="19" cm="1">
        <f t="array" ref="AC31">ROUND(SUMIFS(PUNTO,STAFF,$H31,FECHA,AC$2),2)</f>
        <v>1.56</v>
      </c>
      <c r="AD31" s="19" cm="1">
        <f t="array" ref="AD31">ROUND(SUMIFS(PUNTO,STAFF,$H31,FECHA,AD$2),2)</f>
        <v>2.52</v>
      </c>
      <c r="AE31" s="19" cm="1">
        <f t="array" ref="AE31">ROUND(SUMIFS(PUNTO,STAFF,$H31,FECHA,AE$2),2)</f>
        <v>2</v>
      </c>
      <c r="AF31" s="19" cm="1">
        <f t="array" ref="AF31">ROUND(SUMIFS(PUNTO,STAFF,$H31,FECHA,AF$2),2)</f>
        <v>2.0299999999999998</v>
      </c>
      <c r="AG31" s="19" cm="1">
        <f t="array" ref="AG31">ROUND(SUMIFS(PUNTO,STAFF,$H31,FECHA,AG$2),2)</f>
        <v>2</v>
      </c>
      <c r="AH31" s="19" cm="1">
        <f t="array" ref="AH31">ROUND(SUMIFS(PUNTO,STAFF,$H31,FECHA,AH$2),2)</f>
        <v>0</v>
      </c>
      <c r="AI31" s="19" cm="1">
        <f t="array" ref="AI31">ROUND(SUMIFS(PUNTO,STAFF,$H31,FECHA,AI$2),2)</f>
        <v>0.61</v>
      </c>
      <c r="AJ31" s="19" cm="1">
        <f t="array" ref="AJ31">ROUND(SUMIFS(PUNTO,STAFF,$H31,FECHA,AJ$2),2)</f>
        <v>1.77</v>
      </c>
      <c r="AK31" s="19" cm="1">
        <f t="array" ref="AK31">ROUND(SUMIFS(PUNTO,STAFF,$H31,FECHA,AK$2),2)</f>
        <v>3.24</v>
      </c>
      <c r="AL31" s="19" cm="1">
        <f t="array" ref="AL31">ROUND(SUMIFS(PUNTO,STAFF,$H31,FECHA,AL$2),2)</f>
        <v>1.99</v>
      </c>
      <c r="AM31" s="19" cm="1">
        <f t="array" ref="AM31">ROUND(SUMIFS(PUNTO,STAFF,$H31,FECHA,AM$2),2)</f>
        <v>0</v>
      </c>
      <c r="AN31" s="27">
        <f t="shared" si="1"/>
        <v>42.230000000000004</v>
      </c>
      <c r="AO31" s="27">
        <v>0.82</v>
      </c>
      <c r="AP31" s="27">
        <f>AN31+AO31</f>
        <v>43.050000000000004</v>
      </c>
      <c r="AQ31" s="27">
        <f>AP31*$AQ$2</f>
        <v>4.3050000000000006</v>
      </c>
      <c r="AR31" s="27"/>
      <c r="AS31" s="27"/>
      <c r="AT31" s="27"/>
      <c r="AU31" s="27"/>
      <c r="AV31" s="47"/>
      <c r="AW31" s="27"/>
      <c r="AX31" s="25">
        <f t="shared" si="2"/>
        <v>47.355000000000004</v>
      </c>
    </row>
    <row r="32" spans="1:50" x14ac:dyDescent="0.3">
      <c r="A32" s="4">
        <v>46025</v>
      </c>
      <c r="B32" s="1" t="s">
        <v>4</v>
      </c>
      <c r="C32" s="2">
        <v>46025.790277777778</v>
      </c>
      <c r="D32" s="2">
        <v>46026.300694444442</v>
      </c>
      <c r="E32" s="5">
        <f t="shared" si="0"/>
        <v>0.51041666666424135</v>
      </c>
      <c r="F32" s="6">
        <f t="shared" si="3"/>
        <v>2.04</v>
      </c>
      <c r="H32" s="24" t="s">
        <v>48</v>
      </c>
      <c r="I32" s="11" cm="1">
        <f t="array" ref="I32">ROUND(SUMIFS(PUNTO,STAFF,$H32,FECHA,I$2),2)</f>
        <v>0</v>
      </c>
      <c r="J32" s="11" cm="1">
        <f t="array" ref="J32">ROUND(SUMIFS(PUNTO,STAFF,$H32,FECHA,J$2),2)</f>
        <v>0</v>
      </c>
      <c r="K32" s="11" cm="1">
        <f t="array" ref="K32">ROUND(SUMIFS(PUNTO,STAFF,$H32,FECHA,K$2),2)</f>
        <v>0</v>
      </c>
      <c r="L32" s="11" cm="1">
        <f t="array" ref="L32">ROUND(SUMIFS(PUNTO,STAFF,$H32,FECHA,L$2),2)</f>
        <v>0</v>
      </c>
      <c r="M32" s="11" cm="1">
        <f t="array" ref="M32">ROUND(SUMIFS(PUNTO,STAFF,$H32,FECHA,M$2),2)</f>
        <v>0</v>
      </c>
      <c r="N32" s="11" cm="1">
        <f t="array" ref="N32">ROUND(SUMIFS(PUNTO,STAFF,$H32,FECHA,N$2),2)</f>
        <v>0</v>
      </c>
      <c r="O32" s="11" cm="1">
        <f t="array" ref="O32">ROUND(SUMIFS(PUNTO,STAFF,$H32,FECHA,O$2),2)</f>
        <v>0</v>
      </c>
      <c r="P32" s="11" cm="1">
        <f t="array" ref="P32">ROUND(SUMIFS(PUNTO,STAFF,$H32,FECHA,P$2),2)</f>
        <v>0</v>
      </c>
      <c r="Q32" s="11" cm="1">
        <f t="array" ref="Q32">ROUND(SUMIFS(PUNTO,STAFF,$H32,FECHA,Q$2),2)</f>
        <v>0</v>
      </c>
      <c r="R32" s="11" cm="1">
        <f t="array" ref="R32">ROUND(SUMIFS(PUNTO,STAFF,$H32,FECHA,R$2),2)</f>
        <v>0</v>
      </c>
      <c r="S32" s="11" cm="1">
        <f t="array" ref="S32">ROUND(SUMIFS(PUNTO,STAFF,$H32,FECHA,S$2),2)</f>
        <v>0</v>
      </c>
      <c r="T32" s="11" cm="1">
        <f t="array" ref="T32">ROUND(SUMIFS(PUNTO,STAFF,$H32,FECHA,T$2),2)</f>
        <v>0</v>
      </c>
      <c r="U32" s="11" cm="1">
        <f t="array" ref="U32">ROUND(SUMIFS(PUNTO,STAFF,$H32,FECHA,U$2),2)</f>
        <v>0</v>
      </c>
      <c r="V32" s="11" cm="1">
        <f t="array" ref="V32">ROUND(SUMIFS(PUNTO,STAFF,$H32,FECHA,V$2),2)</f>
        <v>0</v>
      </c>
      <c r="W32" s="11" cm="1">
        <f t="array" ref="W32">ROUND(SUMIFS(PUNTO,STAFF,$H32,FECHA,W$2),2)</f>
        <v>0</v>
      </c>
      <c r="X32" s="11" cm="1">
        <f t="array" ref="X32">ROUND(SUMIFS(PUNTO,STAFF,$H32,FECHA,X$2),2)</f>
        <v>0</v>
      </c>
      <c r="Y32" s="11" cm="1">
        <f t="array" ref="Y32">ROUND(SUMIFS(PUNTO,STAFF,$H32,FECHA,Y$2),2)</f>
        <v>0</v>
      </c>
      <c r="Z32" s="11" cm="1">
        <f t="array" ref="Z32">ROUND(SUMIFS(PUNTO,STAFF,$H32,FECHA,Z$2),2)</f>
        <v>0</v>
      </c>
      <c r="AA32" s="11" cm="1">
        <f t="array" ref="AA32">ROUND(SUMIFS(PUNTO,STAFF,$H32,FECHA,AA$2),2)</f>
        <v>0</v>
      </c>
      <c r="AB32" s="11" cm="1">
        <f t="array" ref="AB32">ROUND(SUMIFS(PUNTO,STAFF,$H32,FECHA,AB$2),2)</f>
        <v>0</v>
      </c>
      <c r="AC32" s="11" cm="1">
        <f t="array" ref="AC32">ROUND(SUMIFS(PUNTO,STAFF,$H32,FECHA,AC$2),2)</f>
        <v>0</v>
      </c>
      <c r="AD32" s="11" cm="1">
        <f t="array" ref="AD32">ROUND(SUMIFS(PUNTO,STAFF,$H32,FECHA,AD$2),2)</f>
        <v>0</v>
      </c>
      <c r="AE32" s="11" cm="1">
        <f t="array" ref="AE32">ROUND(SUMIFS(PUNTO,STAFF,$H32,FECHA,AE$2),2)</f>
        <v>0</v>
      </c>
      <c r="AF32" s="11" cm="1">
        <f t="array" ref="AF32">ROUND(SUMIFS(PUNTO,STAFF,$H32,FECHA,AF$2),2)</f>
        <v>0</v>
      </c>
      <c r="AG32" s="11" cm="1">
        <f t="array" ref="AG32">ROUND(SUMIFS(PUNTO,STAFF,$H32,FECHA,AG$2),2)</f>
        <v>0</v>
      </c>
      <c r="AH32" s="11" cm="1">
        <f t="array" ref="AH32">ROUND(SUMIFS(PUNTO,STAFF,$H32,FECHA,AH$2),2)</f>
        <v>0</v>
      </c>
      <c r="AI32" s="11" cm="1">
        <f t="array" ref="AI32">ROUND(SUMIFS(PUNTO,STAFF,$H32,FECHA,AI$2),2)</f>
        <v>0</v>
      </c>
      <c r="AJ32" s="11" cm="1">
        <f t="array" ref="AJ32">ROUND(SUMIFS(PUNTO,STAFF,$H32,FECHA,AJ$2),2)</f>
        <v>0</v>
      </c>
      <c r="AK32" s="11" cm="1">
        <f t="array" ref="AK32">ROUND(SUMIFS(PUNTO,STAFF,$H32,FECHA,AK$2),2)</f>
        <v>0</v>
      </c>
      <c r="AL32" s="11" cm="1">
        <f t="array" ref="AL32">ROUND(SUMIFS(PUNTO,STAFF,$H32,FECHA,AL$2),2)</f>
        <v>0</v>
      </c>
      <c r="AM32" s="11" cm="1">
        <f t="array" ref="AM32">ROUND(SUMIFS(PUNTO,STAFF,$H32,FECHA,AM$2),2)</f>
        <v>0</v>
      </c>
      <c r="AN32" s="26">
        <f t="shared" si="1"/>
        <v>0</v>
      </c>
      <c r="AO32" s="26">
        <v>7.7999999999999989</v>
      </c>
      <c r="AP32" s="27">
        <f>AN32+AO32</f>
        <v>7.7999999999999989</v>
      </c>
      <c r="AQ32" s="26"/>
      <c r="AR32" s="26"/>
      <c r="AS32" s="26"/>
      <c r="AT32" s="26"/>
      <c r="AU32" s="26"/>
      <c r="AV32" s="26"/>
      <c r="AW32" s="26">
        <v>12.589583333333332</v>
      </c>
      <c r="AX32" s="25">
        <f t="shared" si="2"/>
        <v>20.389583333333331</v>
      </c>
    </row>
    <row r="33" spans="1:50" x14ac:dyDescent="0.3">
      <c r="A33" s="41">
        <v>46025</v>
      </c>
      <c r="B33" s="42" t="s">
        <v>45</v>
      </c>
      <c r="C33" s="43">
        <v>46025.79791666667</v>
      </c>
      <c r="D33" s="43">
        <v>46026.296527777777</v>
      </c>
      <c r="E33" s="44">
        <f t="shared" si="0"/>
        <v>0.49861111110658385</v>
      </c>
      <c r="F33" s="45">
        <f t="shared" si="3"/>
        <v>1.99</v>
      </c>
      <c r="G33" s="46"/>
      <c r="H33" s="21" t="s">
        <v>49</v>
      </c>
      <c r="I33" s="19" cm="1">
        <f t="array" ref="I33">ROUND(SUMIFS(PUNTO,STAFF,$H33,FECHA,I$2),2)</f>
        <v>0</v>
      </c>
      <c r="J33" s="19" cm="1">
        <f t="array" ref="J33">ROUND(SUMIFS(PUNTO,STAFF,$H33,FECHA,J$2),2)</f>
        <v>0</v>
      </c>
      <c r="K33" s="19" cm="1">
        <f t="array" ref="K33">ROUND(SUMIFS(PUNTO,STAFF,$H33,FECHA,K$2),2)</f>
        <v>0</v>
      </c>
      <c r="L33" s="19" cm="1">
        <f t="array" ref="L33">ROUND(SUMIFS(PUNTO,STAFF,$H33,FECHA,L$2),2)</f>
        <v>0</v>
      </c>
      <c r="M33" s="19" cm="1">
        <f t="array" ref="M33">ROUND(SUMIFS(PUNTO,STAFF,$H33,FECHA,M$2),2)</f>
        <v>0</v>
      </c>
      <c r="N33" s="19" cm="1">
        <f t="array" ref="N33">ROUND(SUMIFS(PUNTO,STAFF,$H33,FECHA,N$2),2)</f>
        <v>0</v>
      </c>
      <c r="O33" s="19" cm="1">
        <f t="array" ref="O33">ROUND(SUMIFS(PUNTO,STAFF,$H33,FECHA,O$2),2)</f>
        <v>0</v>
      </c>
      <c r="P33" s="19" cm="1">
        <f t="array" ref="P33">ROUND(SUMIFS(PUNTO,STAFF,$H33,FECHA,P$2),2)</f>
        <v>0</v>
      </c>
      <c r="Q33" s="19" cm="1">
        <f t="array" ref="Q33">ROUND(SUMIFS(PUNTO,STAFF,$H33,FECHA,Q$2),2)</f>
        <v>0</v>
      </c>
      <c r="R33" s="19" cm="1">
        <f t="array" ref="R33">ROUND(SUMIFS(PUNTO,STAFF,$H33,FECHA,R$2),2)</f>
        <v>0</v>
      </c>
      <c r="S33" s="19" cm="1">
        <f t="array" ref="S33">ROUND(SUMIFS(PUNTO,STAFF,$H33,FECHA,S$2),2)</f>
        <v>0</v>
      </c>
      <c r="T33" s="19" cm="1">
        <f t="array" ref="T33">ROUND(SUMIFS(PUNTO,STAFF,$H33,FECHA,T$2),2)</f>
        <v>0</v>
      </c>
      <c r="U33" s="19" cm="1">
        <f t="array" ref="U33">ROUND(SUMIFS(PUNTO,STAFF,$H33,FECHA,U$2),2)</f>
        <v>0</v>
      </c>
      <c r="V33" s="19" cm="1">
        <f t="array" ref="V33">ROUND(SUMIFS(PUNTO,STAFF,$H33,FECHA,V$2),2)</f>
        <v>0</v>
      </c>
      <c r="W33" s="19" cm="1">
        <f t="array" ref="W33">ROUND(SUMIFS(PUNTO,STAFF,$H33,FECHA,W$2),2)</f>
        <v>0</v>
      </c>
      <c r="X33" s="19" cm="1">
        <f t="array" ref="X33">ROUND(SUMIFS(PUNTO,STAFF,$H33,FECHA,X$2),2)</f>
        <v>0</v>
      </c>
      <c r="Y33" s="19" cm="1">
        <f t="array" ref="Y33">ROUND(SUMIFS(PUNTO,STAFF,$H33,FECHA,Y$2),2)</f>
        <v>0</v>
      </c>
      <c r="Z33" s="19" cm="1">
        <f t="array" ref="Z33">ROUND(SUMIFS(PUNTO,STAFF,$H33,FECHA,Z$2),2)</f>
        <v>0</v>
      </c>
      <c r="AA33" s="19" cm="1">
        <f t="array" ref="AA33">ROUND(SUMIFS(PUNTO,STAFF,$H33,FECHA,AA$2),2)</f>
        <v>0</v>
      </c>
      <c r="AB33" s="19" cm="1">
        <f t="array" ref="AB33">ROUND(SUMIFS(PUNTO,STAFF,$H33,FECHA,AB$2),2)</f>
        <v>0</v>
      </c>
      <c r="AC33" s="19" cm="1">
        <f t="array" ref="AC33">ROUND(SUMIFS(PUNTO,STAFF,$H33,FECHA,AC$2),2)</f>
        <v>0</v>
      </c>
      <c r="AD33" s="19" cm="1">
        <f t="array" ref="AD33">ROUND(SUMIFS(PUNTO,STAFF,$H33,FECHA,AD$2),2)</f>
        <v>0</v>
      </c>
      <c r="AE33" s="19" cm="1">
        <f t="array" ref="AE33">ROUND(SUMIFS(PUNTO,STAFF,$H33,FECHA,AE$2),2)</f>
        <v>0</v>
      </c>
      <c r="AF33" s="19" cm="1">
        <f t="array" ref="AF33">ROUND(SUMIFS(PUNTO,STAFF,$H33,FECHA,AF$2),2)</f>
        <v>0</v>
      </c>
      <c r="AG33" s="19" cm="1">
        <f t="array" ref="AG33">ROUND(SUMIFS(PUNTO,STAFF,$H33,FECHA,AG$2),2)</f>
        <v>0</v>
      </c>
      <c r="AH33" s="19" cm="1">
        <f t="array" ref="AH33">ROUND(SUMIFS(PUNTO,STAFF,$H33,FECHA,AH$2),2)</f>
        <v>0</v>
      </c>
      <c r="AI33" s="19" cm="1">
        <f t="array" ref="AI33">ROUND(SUMIFS(PUNTO,STAFF,$H33,FECHA,AI$2),2)</f>
        <v>0</v>
      </c>
      <c r="AJ33" s="19" cm="1">
        <f t="array" ref="AJ33">ROUND(SUMIFS(PUNTO,STAFF,$H33,FECHA,AJ$2),2)</f>
        <v>0</v>
      </c>
      <c r="AK33" s="19" cm="1">
        <f t="array" ref="AK33">ROUND(SUMIFS(PUNTO,STAFF,$H33,FECHA,AK$2),2)</f>
        <v>0</v>
      </c>
      <c r="AL33" s="19" cm="1">
        <f t="array" ref="AL33">ROUND(SUMIFS(PUNTO,STAFF,$H33,FECHA,AL$2),2)</f>
        <v>0</v>
      </c>
      <c r="AM33" s="19" cm="1">
        <f t="array" ref="AM33">ROUND(SUMIFS(PUNTO,STAFF,$H33,FECHA,AM$2),2)</f>
        <v>0</v>
      </c>
      <c r="AN33" s="27">
        <f t="shared" si="1"/>
        <v>0</v>
      </c>
      <c r="AO33" s="27">
        <v>36.9</v>
      </c>
      <c r="AP33" s="27">
        <f>AN33+AO33</f>
        <v>36.9</v>
      </c>
      <c r="AQ33" s="27">
        <f>AO33*$AQ$2</f>
        <v>3.69</v>
      </c>
      <c r="AR33" s="27"/>
      <c r="AS33" s="27">
        <f>AO33*$AS$2</f>
        <v>1.845</v>
      </c>
      <c r="AT33" s="27"/>
      <c r="AU33" s="27"/>
      <c r="AV33" s="27"/>
      <c r="AW33" s="27"/>
      <c r="AX33" s="25">
        <f t="shared" si="2"/>
        <v>42.434999999999995</v>
      </c>
    </row>
    <row r="34" spans="1:50" x14ac:dyDescent="0.3">
      <c r="A34" s="4">
        <v>46025</v>
      </c>
      <c r="B34" s="1" t="s">
        <v>39</v>
      </c>
      <c r="C34" s="2">
        <v>0.83333333333333337</v>
      </c>
      <c r="D34" s="2">
        <v>0.875</v>
      </c>
      <c r="E34" s="5">
        <f t="shared" si="0"/>
        <v>4.166666666666663E-2</v>
      </c>
      <c r="F34" s="6">
        <f t="shared" si="3"/>
        <v>0.17</v>
      </c>
      <c r="H34" s="24" t="s">
        <v>50</v>
      </c>
      <c r="I34" s="11" cm="1">
        <f t="array" ref="I34">ROUND(SUMIFS(PUNTO,STAFF,$H34,FECHA,I$2),2)</f>
        <v>0</v>
      </c>
      <c r="J34" s="11" cm="1">
        <f t="array" ref="J34">ROUND(SUMIFS(PUNTO,STAFF,$H34,FECHA,J$2),2)</f>
        <v>1.91</v>
      </c>
      <c r="K34" s="11" cm="1">
        <f t="array" ref="K34">ROUND(SUMIFS(PUNTO,STAFF,$H34,FECHA,K$2),2)</f>
        <v>2.23</v>
      </c>
      <c r="L34" s="11" cm="1">
        <f t="array" ref="L34">ROUND(SUMIFS(PUNTO,STAFF,$H34,FECHA,L$2),2)</f>
        <v>0</v>
      </c>
      <c r="M34" s="11" cm="1">
        <f t="array" ref="M34">ROUND(SUMIFS(PUNTO,STAFF,$H34,FECHA,M$2),2)</f>
        <v>2.0299999999999998</v>
      </c>
      <c r="N34" s="11" cm="1">
        <f t="array" ref="N34">ROUND(SUMIFS(PUNTO,STAFF,$H34,FECHA,N$2),2)</f>
        <v>0</v>
      </c>
      <c r="O34" s="11" cm="1">
        <f t="array" ref="O34">ROUND(SUMIFS(PUNTO,STAFF,$H34,FECHA,O$2),2)</f>
        <v>0</v>
      </c>
      <c r="P34" s="11" cm="1">
        <f t="array" ref="P34">ROUND(SUMIFS(PUNTO,STAFF,$H34,FECHA,P$2),2)</f>
        <v>2.2000000000000002</v>
      </c>
      <c r="Q34" s="11" cm="1">
        <f t="array" ref="Q34">ROUND(SUMIFS(PUNTO,STAFF,$H34,FECHA,Q$2),2)</f>
        <v>2.0299999999999998</v>
      </c>
      <c r="R34" s="11" cm="1">
        <f t="array" ref="R34">ROUND(SUMIFS(PUNTO,STAFF,$H34,FECHA,R$2),2)</f>
        <v>1.21</v>
      </c>
      <c r="S34" s="11" cm="1">
        <f t="array" ref="S34">ROUND(SUMIFS(PUNTO,STAFF,$H34,FECHA,S$2),2)</f>
        <v>0</v>
      </c>
      <c r="T34" s="11" cm="1">
        <f t="array" ref="T34">ROUND(SUMIFS(PUNTO,STAFF,$H34,FECHA,T$2),2)</f>
        <v>2</v>
      </c>
      <c r="U34" s="11" cm="1">
        <f t="array" ref="U34">ROUND(SUMIFS(PUNTO,STAFF,$H34,FECHA,U$2),2)</f>
        <v>0</v>
      </c>
      <c r="V34" s="11" cm="1">
        <f t="array" ref="V34">ROUND(SUMIFS(PUNTO,STAFF,$H34,FECHA,V$2),2)</f>
        <v>0</v>
      </c>
      <c r="W34" s="11" cm="1">
        <f t="array" ref="W34">ROUND(SUMIFS(PUNTO,STAFF,$H34,FECHA,W$2),2)</f>
        <v>0.51</v>
      </c>
      <c r="X34" s="11" cm="1">
        <f t="array" ref="X34">ROUND(SUMIFS(PUNTO,STAFF,$H34,FECHA,X$2),2)</f>
        <v>0</v>
      </c>
      <c r="Y34" s="11" cm="1">
        <f t="array" ref="Y34">ROUND(SUMIFS(PUNTO,STAFF,$H34,FECHA,Y$2),2)</f>
        <v>0</v>
      </c>
      <c r="Z34" s="11" cm="1">
        <f t="array" ref="Z34">ROUND(SUMIFS(PUNTO,STAFF,$H34,FECHA,Z$2),2)</f>
        <v>0</v>
      </c>
      <c r="AA34" s="11" cm="1">
        <f t="array" ref="AA34">ROUND(SUMIFS(PUNTO,STAFF,$H34,FECHA,AA$2),2)</f>
        <v>0</v>
      </c>
      <c r="AB34" s="11" cm="1">
        <f t="array" ref="AB34">ROUND(SUMIFS(PUNTO,STAFF,$H34,FECHA,AB$2),2)</f>
        <v>0</v>
      </c>
      <c r="AC34" s="11" cm="1">
        <f t="array" ref="AC34">ROUND(SUMIFS(PUNTO,STAFF,$H34,FECHA,AC$2),2)</f>
        <v>0</v>
      </c>
      <c r="AD34" s="11" cm="1">
        <f t="array" ref="AD34">ROUND(SUMIFS(PUNTO,STAFF,$H34,FECHA,AD$2),2)</f>
        <v>0</v>
      </c>
      <c r="AE34" s="11" cm="1">
        <f t="array" ref="AE34">ROUND(SUMIFS(PUNTO,STAFF,$H34,FECHA,AE$2),2)</f>
        <v>0</v>
      </c>
      <c r="AF34" s="11" cm="1">
        <f t="array" ref="AF34">ROUND(SUMIFS(PUNTO,STAFF,$H34,FECHA,AF$2),2)</f>
        <v>0</v>
      </c>
      <c r="AG34" s="11" cm="1">
        <f t="array" ref="AG34">ROUND(SUMIFS(PUNTO,STAFF,$H34,FECHA,AG$2),2)</f>
        <v>0</v>
      </c>
      <c r="AH34" s="11" cm="1">
        <f t="array" ref="AH34">ROUND(SUMIFS(PUNTO,STAFF,$H34,FECHA,AH$2),2)</f>
        <v>0</v>
      </c>
      <c r="AI34" s="11" cm="1">
        <f t="array" ref="AI34">ROUND(SUMIFS(PUNTO,STAFF,$H34,FECHA,AI$2),2)</f>
        <v>0</v>
      </c>
      <c r="AJ34" s="11" cm="1">
        <f t="array" ref="AJ34">ROUND(SUMIFS(PUNTO,STAFF,$H34,FECHA,AJ$2),2)</f>
        <v>0</v>
      </c>
      <c r="AK34" s="11" cm="1">
        <f t="array" ref="AK34">ROUND(SUMIFS(PUNTO,STAFF,$H34,FECHA,AK$2),2)</f>
        <v>0</v>
      </c>
      <c r="AL34" s="11" cm="1">
        <f t="array" ref="AL34">ROUND(SUMIFS(PUNTO,STAFF,$H34,FECHA,AL$2),2)</f>
        <v>0</v>
      </c>
      <c r="AM34" s="11" cm="1">
        <f t="array" ref="AM34">ROUND(SUMIFS(PUNTO,STAFF,$H34,FECHA,AM$2),2)</f>
        <v>0</v>
      </c>
      <c r="AN34" s="26">
        <f t="shared" si="1"/>
        <v>14.12</v>
      </c>
      <c r="AO34" s="26"/>
      <c r="AP34" s="27">
        <f>AN34+AO34</f>
        <v>14.12</v>
      </c>
      <c r="AQ34" s="26"/>
      <c r="AR34" s="26"/>
      <c r="AS34" s="26"/>
      <c r="AT34" s="26"/>
      <c r="AU34" s="26"/>
      <c r="AV34" s="26"/>
      <c r="AW34" s="26">
        <v>18.099166666666665</v>
      </c>
      <c r="AX34" s="25">
        <f t="shared" si="2"/>
        <v>32.219166666666666</v>
      </c>
    </row>
    <row r="35" spans="1:50" x14ac:dyDescent="0.3">
      <c r="A35" s="41">
        <v>46025</v>
      </c>
      <c r="B35" s="42" t="s">
        <v>36</v>
      </c>
      <c r="C35" s="43">
        <v>46025.976388888892</v>
      </c>
      <c r="D35" s="43">
        <v>46026.02847222222</v>
      </c>
      <c r="E35" s="44">
        <f t="shared" si="0"/>
        <v>5.2083333328482695E-2</v>
      </c>
      <c r="F35" s="45">
        <f t="shared" si="3"/>
        <v>0.21</v>
      </c>
      <c r="G35" s="46"/>
      <c r="H35" s="21" t="s">
        <v>51</v>
      </c>
      <c r="I35" s="19" cm="1">
        <f t="array" ref="I35">ROUND(SUMIFS(PUNTO,STAFF,$H35,FECHA,I$2),2)</f>
        <v>0</v>
      </c>
      <c r="J35" s="19" cm="1">
        <f t="array" ref="J35">ROUND(SUMIFS(PUNTO,STAFF,$H35,FECHA,J$2),2)</f>
        <v>0</v>
      </c>
      <c r="K35" s="19" cm="1">
        <f t="array" ref="K35">ROUND(SUMIFS(PUNTO,STAFF,$H35,FECHA,K$2),2)</f>
        <v>1.61</v>
      </c>
      <c r="L35" s="19" cm="1">
        <f t="array" ref="L35">ROUND(SUMIFS(PUNTO,STAFF,$H35,FECHA,L$2),2)</f>
        <v>0</v>
      </c>
      <c r="M35" s="19" cm="1">
        <f t="array" ref="M35">ROUND(SUMIFS(PUNTO,STAFF,$H35,FECHA,M$2),2)</f>
        <v>0</v>
      </c>
      <c r="N35" s="19" cm="1">
        <f t="array" ref="N35">ROUND(SUMIFS(PUNTO,STAFF,$H35,FECHA,N$2),2)</f>
        <v>0</v>
      </c>
      <c r="O35" s="19" cm="1">
        <f t="array" ref="O35">ROUND(SUMIFS(PUNTO,STAFF,$H35,FECHA,O$2),2)</f>
        <v>1.9</v>
      </c>
      <c r="P35" s="19" cm="1">
        <f t="array" ref="P35">ROUND(SUMIFS(PUNTO,STAFF,$H35,FECHA,P$2),2)</f>
        <v>1.8</v>
      </c>
      <c r="Q35" s="19" cm="1">
        <f t="array" ref="Q35">ROUND(SUMIFS(PUNTO,STAFF,$H35,FECHA,Q$2),2)</f>
        <v>0</v>
      </c>
      <c r="R35" s="19" cm="1">
        <f t="array" ref="R35">ROUND(SUMIFS(PUNTO,STAFF,$H35,FECHA,R$2),2)</f>
        <v>1.63</v>
      </c>
      <c r="S35" s="19" cm="1">
        <f t="array" ref="S35">ROUND(SUMIFS(PUNTO,STAFF,$H35,FECHA,S$2),2)</f>
        <v>0</v>
      </c>
      <c r="T35" s="19" cm="1">
        <f t="array" ref="T35">ROUND(SUMIFS(PUNTO,STAFF,$H35,FECHA,T$2),2)</f>
        <v>0</v>
      </c>
      <c r="U35" s="19" cm="1">
        <f t="array" ref="U35">ROUND(SUMIFS(PUNTO,STAFF,$H35,FECHA,U$2),2)</f>
        <v>0</v>
      </c>
      <c r="V35" s="19" cm="1">
        <f t="array" ref="V35">ROUND(SUMIFS(PUNTO,STAFF,$H35,FECHA,V$2),2)</f>
        <v>1.47</v>
      </c>
      <c r="W35" s="19" cm="1">
        <f t="array" ref="W35">ROUND(SUMIFS(PUNTO,STAFF,$H35,FECHA,W$2),2)</f>
        <v>1.77</v>
      </c>
      <c r="X35" s="19" cm="1">
        <f t="array" ref="X35">ROUND(SUMIFS(PUNTO,STAFF,$H35,FECHA,X$2),2)</f>
        <v>0</v>
      </c>
      <c r="Y35" s="19" cm="1">
        <f t="array" ref="Y35">ROUND(SUMIFS(PUNTO,STAFF,$H35,FECHA,Y$2),2)</f>
        <v>1.87</v>
      </c>
      <c r="Z35" s="19" cm="1">
        <f t="array" ref="Z35">ROUND(SUMIFS(PUNTO,STAFF,$H35,FECHA,Z$2),2)</f>
        <v>0</v>
      </c>
      <c r="AA35" s="19" cm="1">
        <f t="array" ref="AA35">ROUND(SUMIFS(PUNTO,STAFF,$H35,FECHA,AA$2),2)</f>
        <v>0</v>
      </c>
      <c r="AB35" s="19" cm="1">
        <f t="array" ref="AB35">ROUND(SUMIFS(PUNTO,STAFF,$H35,FECHA,AB$2),2)</f>
        <v>0</v>
      </c>
      <c r="AC35" s="19" cm="1">
        <f t="array" ref="AC35">ROUND(SUMIFS(PUNTO,STAFF,$H35,FECHA,AC$2),2)</f>
        <v>1.62</v>
      </c>
      <c r="AD35" s="19" cm="1">
        <f t="array" ref="AD35">ROUND(SUMIFS(PUNTO,STAFF,$H35,FECHA,AD$2),2)</f>
        <v>1.78</v>
      </c>
      <c r="AE35" s="19" cm="1">
        <f t="array" ref="AE35">ROUND(SUMIFS(PUNTO,STAFF,$H35,FECHA,AE$2),2)</f>
        <v>0</v>
      </c>
      <c r="AF35" s="19" cm="1">
        <f t="array" ref="AF35">ROUND(SUMIFS(PUNTO,STAFF,$H35,FECHA,AF$2),2)</f>
        <v>1.8</v>
      </c>
      <c r="AG35" s="19" cm="1">
        <f t="array" ref="AG35">ROUND(SUMIFS(PUNTO,STAFF,$H35,FECHA,AG$2),2)</f>
        <v>0</v>
      </c>
      <c r="AH35" s="19" cm="1">
        <f t="array" ref="AH35">ROUND(SUMIFS(PUNTO,STAFF,$H35,FECHA,AH$2),2)</f>
        <v>0</v>
      </c>
      <c r="AI35" s="19" cm="1">
        <f t="array" ref="AI35">ROUND(SUMIFS(PUNTO,STAFF,$H35,FECHA,AI$2),2)</f>
        <v>0</v>
      </c>
      <c r="AJ35" s="19" cm="1">
        <f t="array" ref="AJ35">ROUND(SUMIFS(PUNTO,STAFF,$H35,FECHA,AJ$2),2)</f>
        <v>2.0099999999999998</v>
      </c>
      <c r="AK35" s="19" cm="1">
        <f t="array" ref="AK35">ROUND(SUMIFS(PUNTO,STAFF,$H35,FECHA,AK$2),2)</f>
        <v>1.79</v>
      </c>
      <c r="AL35" s="19" cm="1">
        <f t="array" ref="AL35">ROUND(SUMIFS(PUNTO,STAFF,$H35,FECHA,AL$2),2)</f>
        <v>0</v>
      </c>
      <c r="AM35" s="19" cm="1">
        <f t="array" ref="AM35">ROUND(SUMIFS(PUNTO,STAFF,$H35,FECHA,AM$2),2)</f>
        <v>1.36</v>
      </c>
      <c r="AN35" s="27">
        <f t="shared" si="1"/>
        <v>22.409999999999997</v>
      </c>
      <c r="AO35" s="27"/>
      <c r="AP35" s="27">
        <f>AN35+AO35</f>
        <v>22.409999999999997</v>
      </c>
      <c r="AQ35" s="27"/>
      <c r="AR35" s="27"/>
      <c r="AS35" s="27"/>
      <c r="AT35" s="27"/>
      <c r="AU35" s="27"/>
      <c r="AV35" s="27"/>
      <c r="AW35" s="27"/>
      <c r="AX35" s="25">
        <f t="shared" si="2"/>
        <v>22.409999999999997</v>
      </c>
    </row>
    <row r="36" spans="1:50" x14ac:dyDescent="0.3">
      <c r="A36" s="4">
        <v>46026</v>
      </c>
      <c r="B36" s="1" t="s">
        <v>27</v>
      </c>
      <c r="C36" s="2">
        <v>0.28333333333333333</v>
      </c>
      <c r="D36" s="2">
        <v>0.82430555555555551</v>
      </c>
      <c r="E36" s="5">
        <f t="shared" si="0"/>
        <v>0.54097222222222219</v>
      </c>
      <c r="F36" s="6">
        <f t="shared" si="3"/>
        <v>2.16</v>
      </c>
      <c r="H36" s="24" t="s">
        <v>52</v>
      </c>
      <c r="I36" s="11" cm="1">
        <f t="array" ref="I36">ROUND(SUMIFS(PUNTO,STAFF,$H36,FECHA,I$2),2)</f>
        <v>0</v>
      </c>
      <c r="J36" s="11" cm="1">
        <f t="array" ref="J36">ROUND(SUMIFS(PUNTO,STAFF,$H36,FECHA,J$2),2)</f>
        <v>0</v>
      </c>
      <c r="K36" s="11" cm="1">
        <f t="array" ref="K36">ROUND(SUMIFS(PUNTO,STAFF,$H36,FECHA,K$2),2)</f>
        <v>0</v>
      </c>
      <c r="L36" s="11" cm="1">
        <f t="array" ref="L36">ROUND(SUMIFS(PUNTO,STAFF,$H36,FECHA,L$2),2)</f>
        <v>0</v>
      </c>
      <c r="M36" s="11" cm="1">
        <f t="array" ref="M36">ROUND(SUMIFS(PUNTO,STAFF,$H36,FECHA,M$2),2)</f>
        <v>0</v>
      </c>
      <c r="N36" s="11" cm="1">
        <f t="array" ref="N36">ROUND(SUMIFS(PUNTO,STAFF,$H36,FECHA,N$2),2)</f>
        <v>0</v>
      </c>
      <c r="O36" s="11" cm="1">
        <f t="array" ref="O36">ROUND(SUMIFS(PUNTO,STAFF,$H36,FECHA,O$2),2)</f>
        <v>0</v>
      </c>
      <c r="P36" s="11" cm="1">
        <f t="array" ref="P36">ROUND(SUMIFS(PUNTO,STAFF,$H36,FECHA,P$2),2)</f>
        <v>0</v>
      </c>
      <c r="Q36" s="11" cm="1">
        <f t="array" ref="Q36">ROUND(SUMIFS(PUNTO,STAFF,$H36,FECHA,Q$2),2)</f>
        <v>0</v>
      </c>
      <c r="R36" s="11" cm="1">
        <f t="array" ref="R36">ROUND(SUMIFS(PUNTO,STAFF,$H36,FECHA,R$2),2)</f>
        <v>0</v>
      </c>
      <c r="S36" s="11" cm="1">
        <f t="array" ref="S36">ROUND(SUMIFS(PUNTO,STAFF,$H36,FECHA,S$2),2)</f>
        <v>0</v>
      </c>
      <c r="T36" s="11" cm="1">
        <f t="array" ref="T36">ROUND(SUMIFS(PUNTO,STAFF,$H36,FECHA,T$2),2)</f>
        <v>0</v>
      </c>
      <c r="U36" s="11" cm="1">
        <f t="array" ref="U36">ROUND(SUMIFS(PUNTO,STAFF,$H36,FECHA,U$2),2)</f>
        <v>0</v>
      </c>
      <c r="V36" s="11" cm="1">
        <f t="array" ref="V36">ROUND(SUMIFS(PUNTO,STAFF,$H36,FECHA,V$2),2)</f>
        <v>0</v>
      </c>
      <c r="W36" s="11" cm="1">
        <f t="array" ref="W36">ROUND(SUMIFS(PUNTO,STAFF,$H36,FECHA,W$2),2)</f>
        <v>0</v>
      </c>
      <c r="X36" s="11" cm="1">
        <f t="array" ref="X36">ROUND(SUMIFS(PUNTO,STAFF,$H36,FECHA,X$2),2)</f>
        <v>0</v>
      </c>
      <c r="Y36" s="11" cm="1">
        <f t="array" ref="Y36">ROUND(SUMIFS(PUNTO,STAFF,$H36,FECHA,Y$2),2)</f>
        <v>0</v>
      </c>
      <c r="Z36" s="11" cm="1">
        <f t="array" ref="Z36">ROUND(SUMIFS(PUNTO,STAFF,$H36,FECHA,Z$2),2)</f>
        <v>2.31</v>
      </c>
      <c r="AA36" s="11" cm="1">
        <f t="array" ref="AA36">ROUND(SUMIFS(PUNTO,STAFF,$H36,FECHA,AA$2),2)</f>
        <v>0</v>
      </c>
      <c r="AB36" s="11" cm="1">
        <f t="array" ref="AB36">ROUND(SUMIFS(PUNTO,STAFF,$H36,FECHA,AB$2),2)</f>
        <v>0</v>
      </c>
      <c r="AC36" s="11" cm="1">
        <f t="array" ref="AC36">ROUND(SUMIFS(PUNTO,STAFF,$H36,FECHA,AC$2),2)</f>
        <v>0</v>
      </c>
      <c r="AD36" s="11" cm="1">
        <f t="array" ref="AD36">ROUND(SUMIFS(PUNTO,STAFF,$H36,FECHA,AD$2),2)</f>
        <v>0</v>
      </c>
      <c r="AE36" s="11" cm="1">
        <f t="array" ref="AE36">ROUND(SUMIFS(PUNTO,STAFF,$H36,FECHA,AE$2),2)</f>
        <v>0</v>
      </c>
      <c r="AF36" s="11" cm="1">
        <f t="array" ref="AF36">ROUND(SUMIFS(PUNTO,STAFF,$H36,FECHA,AF$2),2)</f>
        <v>0</v>
      </c>
      <c r="AG36" s="11" cm="1">
        <f t="array" ref="AG36">ROUND(SUMIFS(PUNTO,STAFF,$H36,FECHA,AG$2),2)</f>
        <v>0</v>
      </c>
      <c r="AH36" s="11" cm="1">
        <f t="array" ref="AH36">ROUND(SUMIFS(PUNTO,STAFF,$H36,FECHA,AH$2),2)</f>
        <v>0</v>
      </c>
      <c r="AI36" s="11" cm="1">
        <f t="array" ref="AI36">ROUND(SUMIFS(PUNTO,STAFF,$H36,FECHA,AI$2),2)</f>
        <v>0</v>
      </c>
      <c r="AJ36" s="11" cm="1">
        <f t="array" ref="AJ36">ROUND(SUMIFS(PUNTO,STAFF,$H36,FECHA,AJ$2),2)</f>
        <v>0</v>
      </c>
      <c r="AK36" s="11" cm="1">
        <f t="array" ref="AK36">ROUND(SUMIFS(PUNTO,STAFF,$H36,FECHA,AK$2),2)</f>
        <v>0</v>
      </c>
      <c r="AL36" s="11" cm="1">
        <f t="array" ref="AL36">ROUND(SUMIFS(PUNTO,STAFF,$H36,FECHA,AL$2),2)</f>
        <v>0</v>
      </c>
      <c r="AM36" s="11" cm="1">
        <f t="array" ref="AM36">ROUND(SUMIFS(PUNTO,STAFF,$H36,FECHA,AM$2),2)</f>
        <v>0</v>
      </c>
      <c r="AN36" s="26">
        <f t="shared" si="1"/>
        <v>2.31</v>
      </c>
      <c r="AO36" s="26">
        <v>15.540000000000001</v>
      </c>
      <c r="AP36" s="27">
        <f>AN36+AO36</f>
        <v>17.850000000000001</v>
      </c>
      <c r="AQ36" s="26">
        <f>AO36*$AQ$2</f>
        <v>1.5540000000000003</v>
      </c>
      <c r="AR36" s="26"/>
      <c r="AS36" s="26"/>
      <c r="AT36" s="26"/>
      <c r="AU36" s="26"/>
      <c r="AV36" s="26"/>
      <c r="AW36" s="26">
        <v>12.115</v>
      </c>
      <c r="AX36" s="25">
        <f t="shared" si="2"/>
        <v>31.519000000000005</v>
      </c>
    </row>
    <row r="37" spans="1:50" x14ac:dyDescent="0.3">
      <c r="A37" s="41">
        <v>46026</v>
      </c>
      <c r="B37" s="42" t="s">
        <v>7</v>
      </c>
      <c r="C37" s="43">
        <v>0.29583333333333334</v>
      </c>
      <c r="D37" s="43">
        <v>0.61875000000000002</v>
      </c>
      <c r="E37" s="44">
        <f t="shared" si="0"/>
        <v>0.32291666666666669</v>
      </c>
      <c r="F37" s="45">
        <f t="shared" si="3"/>
        <v>1.29</v>
      </c>
      <c r="G37" s="46"/>
      <c r="H37" s="21" t="s">
        <v>53</v>
      </c>
      <c r="I37" s="19" cm="1">
        <f t="array" ref="I37">ROUND(SUMIFS(PUNTO,STAFF,$H37,FECHA,I$2),2)</f>
        <v>0</v>
      </c>
      <c r="J37" s="19" cm="1">
        <f t="array" ref="J37">ROUND(SUMIFS(PUNTO,STAFF,$H37,FECHA,J$2),2)</f>
        <v>0</v>
      </c>
      <c r="K37" s="19" cm="1">
        <f t="array" ref="K37">ROUND(SUMIFS(PUNTO,STAFF,$H37,FECHA,K$2),2)</f>
        <v>0</v>
      </c>
      <c r="L37" s="19" cm="1">
        <f t="array" ref="L37">ROUND(SUMIFS(PUNTO,STAFF,$H37,FECHA,L$2),2)</f>
        <v>0</v>
      </c>
      <c r="M37" s="19" cm="1">
        <f t="array" ref="M37">ROUND(SUMIFS(PUNTO,STAFF,$H37,FECHA,M$2),2)</f>
        <v>0</v>
      </c>
      <c r="N37" s="19" cm="1">
        <f t="array" ref="N37">ROUND(SUMIFS(PUNTO,STAFF,$H37,FECHA,N$2),2)</f>
        <v>0</v>
      </c>
      <c r="O37" s="19" cm="1">
        <f t="array" ref="O37">ROUND(SUMIFS(PUNTO,STAFF,$H37,FECHA,O$2),2)</f>
        <v>0</v>
      </c>
      <c r="P37" s="19" cm="1">
        <f t="array" ref="P37">ROUND(SUMIFS(PUNTO,STAFF,$H37,FECHA,P$2),2)</f>
        <v>0</v>
      </c>
      <c r="Q37" s="19" cm="1">
        <f t="array" ref="Q37">ROUND(SUMIFS(PUNTO,STAFF,$H37,FECHA,Q$2),2)</f>
        <v>0</v>
      </c>
      <c r="R37" s="19" cm="1">
        <f t="array" ref="R37">ROUND(SUMIFS(PUNTO,STAFF,$H37,FECHA,R$2),2)</f>
        <v>2.09</v>
      </c>
      <c r="S37" s="19" cm="1">
        <f t="array" ref="S37">ROUND(SUMIFS(PUNTO,STAFF,$H37,FECHA,S$2),2)</f>
        <v>0</v>
      </c>
      <c r="T37" s="19" cm="1">
        <f t="array" ref="T37">ROUND(SUMIFS(PUNTO,STAFF,$H37,FECHA,T$2),2)</f>
        <v>0</v>
      </c>
      <c r="U37" s="19" cm="1">
        <f t="array" ref="U37">ROUND(SUMIFS(PUNTO,STAFF,$H37,FECHA,U$2),2)</f>
        <v>0</v>
      </c>
      <c r="V37" s="19" cm="1">
        <f t="array" ref="V37">ROUND(SUMIFS(PUNTO,STAFF,$H37,FECHA,V$2),2)</f>
        <v>0</v>
      </c>
      <c r="W37" s="19" cm="1">
        <f t="array" ref="W37">ROUND(SUMIFS(PUNTO,STAFF,$H37,FECHA,W$2),2)</f>
        <v>0</v>
      </c>
      <c r="X37" s="19" cm="1">
        <f t="array" ref="X37">ROUND(SUMIFS(PUNTO,STAFF,$H37,FECHA,X$2),2)</f>
        <v>0</v>
      </c>
      <c r="Y37" s="19" cm="1">
        <f t="array" ref="Y37">ROUND(SUMIFS(PUNTO,STAFF,$H37,FECHA,Y$2),2)</f>
        <v>0</v>
      </c>
      <c r="Z37" s="19" cm="1">
        <f t="array" ref="Z37">ROUND(SUMIFS(PUNTO,STAFF,$H37,FECHA,Z$2),2)</f>
        <v>0</v>
      </c>
      <c r="AA37" s="19" cm="1">
        <f t="array" ref="AA37">ROUND(SUMIFS(PUNTO,STAFF,$H37,FECHA,AA$2),2)</f>
        <v>0</v>
      </c>
      <c r="AB37" s="19" cm="1">
        <f t="array" ref="AB37">ROUND(SUMIFS(PUNTO,STAFF,$H37,FECHA,AB$2),2)</f>
        <v>0</v>
      </c>
      <c r="AC37" s="19" cm="1">
        <f t="array" ref="AC37">ROUND(SUMIFS(PUNTO,STAFF,$H37,FECHA,AC$2),2)</f>
        <v>0</v>
      </c>
      <c r="AD37" s="19" cm="1">
        <f t="array" ref="AD37">ROUND(SUMIFS(PUNTO,STAFF,$H37,FECHA,AD$2),2)</f>
        <v>0</v>
      </c>
      <c r="AE37" s="19" cm="1">
        <f t="array" ref="AE37">ROUND(SUMIFS(PUNTO,STAFF,$H37,FECHA,AE$2),2)</f>
        <v>0</v>
      </c>
      <c r="AF37" s="19" cm="1">
        <f t="array" ref="AF37">ROUND(SUMIFS(PUNTO,STAFF,$H37,FECHA,AF$2),2)</f>
        <v>0</v>
      </c>
      <c r="AG37" s="19" cm="1">
        <f t="array" ref="AG37">ROUND(SUMIFS(PUNTO,STAFF,$H37,FECHA,AG$2),2)</f>
        <v>0</v>
      </c>
      <c r="AH37" s="19" cm="1">
        <f t="array" ref="AH37">ROUND(SUMIFS(PUNTO,STAFF,$H37,FECHA,AH$2),2)</f>
        <v>0</v>
      </c>
      <c r="AI37" s="19" cm="1">
        <f t="array" ref="AI37">ROUND(SUMIFS(PUNTO,STAFF,$H37,FECHA,AI$2),2)</f>
        <v>0</v>
      </c>
      <c r="AJ37" s="19" cm="1">
        <f t="array" ref="AJ37">ROUND(SUMIFS(PUNTO,STAFF,$H37,FECHA,AJ$2),2)</f>
        <v>0</v>
      </c>
      <c r="AK37" s="19" cm="1">
        <f t="array" ref="AK37">ROUND(SUMIFS(PUNTO,STAFF,$H37,FECHA,AK$2),2)</f>
        <v>0</v>
      </c>
      <c r="AL37" s="19" cm="1">
        <f t="array" ref="AL37">ROUND(SUMIFS(PUNTO,STAFF,$H37,FECHA,AL$2),2)</f>
        <v>0</v>
      </c>
      <c r="AM37" s="19" cm="1">
        <f t="array" ref="AM37">ROUND(SUMIFS(PUNTO,STAFF,$H37,FECHA,AM$2),2)</f>
        <v>0</v>
      </c>
      <c r="AN37" s="27">
        <f t="shared" si="1"/>
        <v>2.09</v>
      </c>
      <c r="AO37" s="27">
        <v>39.589999999999996</v>
      </c>
      <c r="AP37" s="27">
        <f>AN37+AO37</f>
        <v>41.679999999999993</v>
      </c>
      <c r="AQ37" s="27">
        <f>AO37*$AQ$2</f>
        <v>3.9589999999999996</v>
      </c>
      <c r="AR37" s="27"/>
      <c r="AS37" s="27"/>
      <c r="AT37" s="27"/>
      <c r="AU37" s="27"/>
      <c r="AV37" s="27"/>
      <c r="AW37" s="27"/>
      <c r="AX37" s="25">
        <f t="shared" si="2"/>
        <v>45.638999999999996</v>
      </c>
    </row>
    <row r="38" spans="1:50" x14ac:dyDescent="0.3">
      <c r="A38" s="4">
        <v>46026</v>
      </c>
      <c r="B38" s="1" t="s">
        <v>26</v>
      </c>
      <c r="C38" s="2">
        <v>0.61041666666666672</v>
      </c>
      <c r="D38" s="2">
        <v>0.66180555555555554</v>
      </c>
      <c r="E38" s="5">
        <f t="shared" si="0"/>
        <v>5.1388888888888817E-2</v>
      </c>
      <c r="F38" s="6">
        <f t="shared" si="3"/>
        <v>0.21</v>
      </c>
      <c r="H38" s="24" t="s">
        <v>54</v>
      </c>
      <c r="I38" s="11" cm="1">
        <f t="array" ref="I38">ROUND(SUMIFS(PUNTO,STAFF,$H38,FECHA,I$2),2)</f>
        <v>0</v>
      </c>
      <c r="J38" s="11" cm="1">
        <f t="array" ref="J38">ROUND(SUMIFS(PUNTO,STAFF,$H38,FECHA,J$2),2)</f>
        <v>0</v>
      </c>
      <c r="K38" s="11" cm="1">
        <f t="array" ref="K38">ROUND(SUMIFS(PUNTO,STAFF,$H38,FECHA,K$2),2)</f>
        <v>0</v>
      </c>
      <c r="L38" s="11" cm="1">
        <f t="array" ref="L38">ROUND(SUMIFS(PUNTO,STAFF,$H38,FECHA,L$2),2)</f>
        <v>0</v>
      </c>
      <c r="M38" s="11" cm="1">
        <f t="array" ref="M38">ROUND(SUMIFS(PUNTO,STAFF,$H38,FECHA,M$2),2)</f>
        <v>0</v>
      </c>
      <c r="N38" s="11" cm="1">
        <f t="array" ref="N38">ROUND(SUMIFS(PUNTO,STAFF,$H38,FECHA,N$2),2)</f>
        <v>0</v>
      </c>
      <c r="O38" s="11" cm="1">
        <f t="array" ref="O38">ROUND(SUMIFS(PUNTO,STAFF,$H38,FECHA,O$2),2)</f>
        <v>0</v>
      </c>
      <c r="P38" s="11" cm="1">
        <f t="array" ref="P38">ROUND(SUMIFS(PUNTO,STAFF,$H38,FECHA,P$2),2)</f>
        <v>0</v>
      </c>
      <c r="Q38" s="11" cm="1">
        <f t="array" ref="Q38">ROUND(SUMIFS(PUNTO,STAFF,$H38,FECHA,Q$2),2)</f>
        <v>0</v>
      </c>
      <c r="R38" s="11" cm="1">
        <f t="array" ref="R38">ROUND(SUMIFS(PUNTO,STAFF,$H38,FECHA,R$2),2)</f>
        <v>0</v>
      </c>
      <c r="S38" s="11" cm="1">
        <f t="array" ref="S38">ROUND(SUMIFS(PUNTO,STAFF,$H38,FECHA,S$2),2)</f>
        <v>0</v>
      </c>
      <c r="T38" s="11" cm="1">
        <f t="array" ref="T38">ROUND(SUMIFS(PUNTO,STAFF,$H38,FECHA,T$2),2)</f>
        <v>0</v>
      </c>
      <c r="U38" s="11" cm="1">
        <f t="array" ref="U38">ROUND(SUMIFS(PUNTO,STAFF,$H38,FECHA,U$2),2)</f>
        <v>0</v>
      </c>
      <c r="V38" s="11" cm="1">
        <f t="array" ref="V38">ROUND(SUMIFS(PUNTO,STAFF,$H38,FECHA,V$2),2)</f>
        <v>0</v>
      </c>
      <c r="W38" s="11" cm="1">
        <f t="array" ref="W38">ROUND(SUMIFS(PUNTO,STAFF,$H38,FECHA,W$2),2)</f>
        <v>0</v>
      </c>
      <c r="X38" s="11" cm="1">
        <f t="array" ref="X38">ROUND(SUMIFS(PUNTO,STAFF,$H38,FECHA,X$2),2)</f>
        <v>0</v>
      </c>
      <c r="Y38" s="11" cm="1">
        <f t="array" ref="Y38">ROUND(SUMIFS(PUNTO,STAFF,$H38,FECHA,Y$2),2)</f>
        <v>0</v>
      </c>
      <c r="Z38" s="11" cm="1">
        <f t="array" ref="Z38">ROUND(SUMIFS(PUNTO,STAFF,$H38,FECHA,Z$2),2)</f>
        <v>0</v>
      </c>
      <c r="AA38" s="11" cm="1">
        <f t="array" ref="AA38">ROUND(SUMIFS(PUNTO,STAFF,$H38,FECHA,AA$2),2)</f>
        <v>0</v>
      </c>
      <c r="AB38" s="11" cm="1">
        <f t="array" ref="AB38">ROUND(SUMIFS(PUNTO,STAFF,$H38,FECHA,AB$2),2)</f>
        <v>0</v>
      </c>
      <c r="AC38" s="11" cm="1">
        <f t="array" ref="AC38">ROUND(SUMIFS(PUNTO,STAFF,$H38,FECHA,AC$2),2)</f>
        <v>0</v>
      </c>
      <c r="AD38" s="11" cm="1">
        <f t="array" ref="AD38">ROUND(SUMIFS(PUNTO,STAFF,$H38,FECHA,AD$2),2)</f>
        <v>0</v>
      </c>
      <c r="AE38" s="11" cm="1">
        <f t="array" ref="AE38">ROUND(SUMIFS(PUNTO,STAFF,$H38,FECHA,AE$2),2)</f>
        <v>0</v>
      </c>
      <c r="AF38" s="11" cm="1">
        <f t="array" ref="AF38">ROUND(SUMIFS(PUNTO,STAFF,$H38,FECHA,AF$2),2)</f>
        <v>0</v>
      </c>
      <c r="AG38" s="11" cm="1">
        <f t="array" ref="AG38">ROUND(SUMIFS(PUNTO,STAFF,$H38,FECHA,AG$2),2)</f>
        <v>0</v>
      </c>
      <c r="AH38" s="11" cm="1">
        <f t="array" ref="AH38">ROUND(SUMIFS(PUNTO,STAFF,$H38,FECHA,AH$2),2)</f>
        <v>0</v>
      </c>
      <c r="AI38" s="11" cm="1">
        <f t="array" ref="AI38">ROUND(SUMIFS(PUNTO,STAFF,$H38,FECHA,AI$2),2)</f>
        <v>0</v>
      </c>
      <c r="AJ38" s="11" cm="1">
        <f t="array" ref="AJ38">ROUND(SUMIFS(PUNTO,STAFF,$H38,FECHA,AJ$2),2)</f>
        <v>0</v>
      </c>
      <c r="AK38" s="11" cm="1">
        <f t="array" ref="AK38">ROUND(SUMIFS(PUNTO,STAFF,$H38,FECHA,AK$2),2)</f>
        <v>0</v>
      </c>
      <c r="AL38" s="11" cm="1">
        <f t="array" ref="AL38">ROUND(SUMIFS(PUNTO,STAFF,$H38,FECHA,AL$2),2)</f>
        <v>0</v>
      </c>
      <c r="AM38" s="11" cm="1">
        <f t="array" ref="AM38">ROUND(SUMIFS(PUNTO,STAFF,$H38,FECHA,AM$2),2)</f>
        <v>0</v>
      </c>
      <c r="AN38" s="26">
        <f t="shared" si="1"/>
        <v>0</v>
      </c>
      <c r="AO38" s="26">
        <v>27.159999999999997</v>
      </c>
      <c r="AP38" s="27">
        <f>AN38+AO38</f>
        <v>27.159999999999997</v>
      </c>
      <c r="AQ38" s="26"/>
      <c r="AR38" s="26"/>
      <c r="AS38" s="26"/>
      <c r="AT38" s="26"/>
      <c r="AU38" s="26"/>
      <c r="AV38" s="26"/>
      <c r="AW38" s="26"/>
      <c r="AX38" s="25">
        <f t="shared" si="2"/>
        <v>27.159999999999997</v>
      </c>
    </row>
    <row r="39" spans="1:50" x14ac:dyDescent="0.3">
      <c r="A39" s="41">
        <v>46026</v>
      </c>
      <c r="B39" s="42" t="s">
        <v>47</v>
      </c>
      <c r="C39" s="43">
        <v>0.61805555555555558</v>
      </c>
      <c r="D39" s="43">
        <v>0.81041666666666667</v>
      </c>
      <c r="E39" s="44">
        <f t="shared" si="0"/>
        <v>0.19236111111111109</v>
      </c>
      <c r="F39" s="45">
        <f t="shared" si="3"/>
        <v>0.77</v>
      </c>
      <c r="G39" s="46"/>
      <c r="H39" s="21" t="s">
        <v>55</v>
      </c>
      <c r="I39" s="19" cm="1">
        <f t="array" ref="I39">ROUND(SUMIFS(PUNTO,STAFF,$H39,FECHA,I$2),2)</f>
        <v>0</v>
      </c>
      <c r="J39" s="19" cm="1">
        <f t="array" ref="J39">ROUND(SUMIFS(PUNTO,STAFF,$H39,FECHA,J$2),2)</f>
        <v>0</v>
      </c>
      <c r="K39" s="19" cm="1">
        <f t="array" ref="K39">ROUND(SUMIFS(PUNTO,STAFF,$H39,FECHA,K$2),2)</f>
        <v>0</v>
      </c>
      <c r="L39" s="19" cm="1">
        <f t="array" ref="L39">ROUND(SUMIFS(PUNTO,STAFF,$H39,FECHA,L$2),2)</f>
        <v>0</v>
      </c>
      <c r="M39" s="19" cm="1">
        <f t="array" ref="M39">ROUND(SUMIFS(PUNTO,STAFF,$H39,FECHA,M$2),2)</f>
        <v>0</v>
      </c>
      <c r="N39" s="19" cm="1">
        <f t="array" ref="N39">ROUND(SUMIFS(PUNTO,STAFF,$H39,FECHA,N$2),2)</f>
        <v>0</v>
      </c>
      <c r="O39" s="19" cm="1">
        <f t="array" ref="O39">ROUND(SUMIFS(PUNTO,STAFF,$H39,FECHA,O$2),2)</f>
        <v>0</v>
      </c>
      <c r="P39" s="19" cm="1">
        <f t="array" ref="P39">ROUND(SUMIFS(PUNTO,STAFF,$H39,FECHA,P$2),2)</f>
        <v>0</v>
      </c>
      <c r="Q39" s="19" cm="1">
        <f t="array" ref="Q39">ROUND(SUMIFS(PUNTO,STAFF,$H39,FECHA,Q$2),2)</f>
        <v>0</v>
      </c>
      <c r="R39" s="19" cm="1">
        <f t="array" ref="R39">ROUND(SUMIFS(PUNTO,STAFF,$H39,FECHA,R$2),2)</f>
        <v>0</v>
      </c>
      <c r="S39" s="19" cm="1">
        <f t="array" ref="S39">ROUND(SUMIFS(PUNTO,STAFF,$H39,FECHA,S$2),2)</f>
        <v>0</v>
      </c>
      <c r="T39" s="19" cm="1">
        <f t="array" ref="T39">ROUND(SUMIFS(PUNTO,STAFF,$H39,FECHA,T$2),2)</f>
        <v>0</v>
      </c>
      <c r="U39" s="19" cm="1">
        <f t="array" ref="U39">ROUND(SUMIFS(PUNTO,STAFF,$H39,FECHA,U$2),2)</f>
        <v>0</v>
      </c>
      <c r="V39" s="19" cm="1">
        <f t="array" ref="V39">ROUND(SUMIFS(PUNTO,STAFF,$H39,FECHA,V$2),2)</f>
        <v>0</v>
      </c>
      <c r="W39" s="19" cm="1">
        <f t="array" ref="W39">ROUND(SUMIFS(PUNTO,STAFF,$H39,FECHA,W$2),2)</f>
        <v>0</v>
      </c>
      <c r="X39" s="19" cm="1">
        <f t="array" ref="X39">ROUND(SUMIFS(PUNTO,STAFF,$H39,FECHA,X$2),2)</f>
        <v>0</v>
      </c>
      <c r="Y39" s="19" cm="1">
        <f t="array" ref="Y39">ROUND(SUMIFS(PUNTO,STAFF,$H39,FECHA,Y$2),2)</f>
        <v>0</v>
      </c>
      <c r="Z39" s="19" cm="1">
        <f t="array" ref="Z39">ROUND(SUMIFS(PUNTO,STAFF,$H39,FECHA,Z$2),2)</f>
        <v>0</v>
      </c>
      <c r="AA39" s="19" cm="1">
        <f t="array" ref="AA39">ROUND(SUMIFS(PUNTO,STAFF,$H39,FECHA,AA$2),2)</f>
        <v>0</v>
      </c>
      <c r="AB39" s="19" cm="1">
        <f t="array" ref="AB39">ROUND(SUMIFS(PUNTO,STAFF,$H39,FECHA,AB$2),2)</f>
        <v>0</v>
      </c>
      <c r="AC39" s="19" cm="1">
        <f t="array" ref="AC39">ROUND(SUMIFS(PUNTO,STAFF,$H39,FECHA,AC$2),2)</f>
        <v>0</v>
      </c>
      <c r="AD39" s="19" cm="1">
        <f t="array" ref="AD39">ROUND(SUMIFS(PUNTO,STAFF,$H39,FECHA,AD$2),2)</f>
        <v>0</v>
      </c>
      <c r="AE39" s="19" cm="1">
        <f t="array" ref="AE39">ROUND(SUMIFS(PUNTO,STAFF,$H39,FECHA,AE$2),2)</f>
        <v>0</v>
      </c>
      <c r="AF39" s="19" cm="1">
        <f t="array" ref="AF39">ROUND(SUMIFS(PUNTO,STAFF,$H39,FECHA,AF$2),2)</f>
        <v>0</v>
      </c>
      <c r="AG39" s="19" cm="1">
        <f t="array" ref="AG39">ROUND(SUMIFS(PUNTO,STAFF,$H39,FECHA,AG$2),2)</f>
        <v>0</v>
      </c>
      <c r="AH39" s="19" cm="1">
        <f t="array" ref="AH39">ROUND(SUMIFS(PUNTO,STAFF,$H39,FECHA,AH$2),2)</f>
        <v>0</v>
      </c>
      <c r="AI39" s="19" cm="1">
        <f t="array" ref="AI39">ROUND(SUMIFS(PUNTO,STAFF,$H39,FECHA,AI$2),2)</f>
        <v>0</v>
      </c>
      <c r="AJ39" s="19" cm="1">
        <f t="array" ref="AJ39">ROUND(SUMIFS(PUNTO,STAFF,$H39,FECHA,AJ$2),2)</f>
        <v>0</v>
      </c>
      <c r="AK39" s="19" cm="1">
        <f t="array" ref="AK39">ROUND(SUMIFS(PUNTO,STAFF,$H39,FECHA,AK$2),2)</f>
        <v>0</v>
      </c>
      <c r="AL39" s="19" cm="1">
        <f t="array" ref="AL39">ROUND(SUMIFS(PUNTO,STAFF,$H39,FECHA,AL$2),2)</f>
        <v>0</v>
      </c>
      <c r="AM39" s="19" cm="1">
        <f t="array" ref="AM39">ROUND(SUMIFS(PUNTO,STAFF,$H39,FECHA,AM$2),2)</f>
        <v>0</v>
      </c>
      <c r="AN39" s="27">
        <f t="shared" si="1"/>
        <v>0</v>
      </c>
      <c r="AO39" s="27">
        <v>39.72999999999999</v>
      </c>
      <c r="AP39" s="27">
        <f>AN39+AO39</f>
        <v>39.72999999999999</v>
      </c>
      <c r="AQ39" s="27"/>
      <c r="AR39" s="27"/>
      <c r="AS39" s="27"/>
      <c r="AT39" s="27"/>
      <c r="AU39" s="27"/>
      <c r="AV39" s="27"/>
      <c r="AW39" s="27"/>
      <c r="AX39" s="25">
        <f t="shared" si="2"/>
        <v>39.72999999999999</v>
      </c>
    </row>
    <row r="40" spans="1:50" x14ac:dyDescent="0.3">
      <c r="A40" s="4">
        <v>46026</v>
      </c>
      <c r="B40" s="1" t="s">
        <v>31</v>
      </c>
      <c r="C40" s="2">
        <v>46026.768750000003</v>
      </c>
      <c r="D40" s="2">
        <v>46027.294444444444</v>
      </c>
      <c r="E40" s="5">
        <f t="shared" si="0"/>
        <v>0.52569444444088731</v>
      </c>
      <c r="F40" s="6">
        <f t="shared" si="3"/>
        <v>2.1</v>
      </c>
      <c r="H40" s="24" t="s">
        <v>56</v>
      </c>
      <c r="I40" s="11" cm="1">
        <f t="array" ref="I40">ROUND(SUMIFS(PUNTO,STAFF,$H40,FECHA,I$2),2)</f>
        <v>0</v>
      </c>
      <c r="J40" s="11" cm="1">
        <f t="array" ref="J40">ROUND(SUMIFS(PUNTO,STAFF,$H40,FECHA,J$2),2)</f>
        <v>0</v>
      </c>
      <c r="K40" s="11" cm="1">
        <f t="array" ref="K40">ROUND(SUMIFS(PUNTO,STAFF,$H40,FECHA,K$2),2)</f>
        <v>0</v>
      </c>
      <c r="L40" s="11" cm="1">
        <f t="array" ref="L40">ROUND(SUMIFS(PUNTO,STAFF,$H40,FECHA,L$2),2)</f>
        <v>0</v>
      </c>
      <c r="M40" s="11" cm="1">
        <f t="array" ref="M40">ROUND(SUMIFS(PUNTO,STAFF,$H40,FECHA,M$2),2)</f>
        <v>0</v>
      </c>
      <c r="N40" s="11" cm="1">
        <f t="array" ref="N40">ROUND(SUMIFS(PUNTO,STAFF,$H40,FECHA,N$2),2)</f>
        <v>0</v>
      </c>
      <c r="O40" s="11" cm="1">
        <f t="array" ref="O40">ROUND(SUMIFS(PUNTO,STAFF,$H40,FECHA,O$2),2)</f>
        <v>0</v>
      </c>
      <c r="P40" s="11" cm="1">
        <f t="array" ref="P40">ROUND(SUMIFS(PUNTO,STAFF,$H40,FECHA,P$2),2)</f>
        <v>0</v>
      </c>
      <c r="Q40" s="11" cm="1">
        <f t="array" ref="Q40">ROUND(SUMIFS(PUNTO,STAFF,$H40,FECHA,Q$2),2)</f>
        <v>0</v>
      </c>
      <c r="R40" s="11" cm="1">
        <f t="array" ref="R40">ROUND(SUMIFS(PUNTO,STAFF,$H40,FECHA,R$2),2)</f>
        <v>0</v>
      </c>
      <c r="S40" s="11" cm="1">
        <f t="array" ref="S40">ROUND(SUMIFS(PUNTO,STAFF,$H40,FECHA,S$2),2)</f>
        <v>0</v>
      </c>
      <c r="T40" s="11" cm="1">
        <f t="array" ref="T40">ROUND(SUMIFS(PUNTO,STAFF,$H40,FECHA,T$2),2)</f>
        <v>0</v>
      </c>
      <c r="U40" s="11" cm="1">
        <f t="array" ref="U40">ROUND(SUMIFS(PUNTO,STAFF,$H40,FECHA,U$2),2)</f>
        <v>0</v>
      </c>
      <c r="V40" s="11" cm="1">
        <f t="array" ref="V40">ROUND(SUMIFS(PUNTO,STAFF,$H40,FECHA,V$2),2)</f>
        <v>0</v>
      </c>
      <c r="W40" s="11" cm="1">
        <f t="array" ref="W40">ROUND(SUMIFS(PUNTO,STAFF,$H40,FECHA,W$2),2)</f>
        <v>0</v>
      </c>
      <c r="X40" s="11" cm="1">
        <f t="array" ref="X40">ROUND(SUMIFS(PUNTO,STAFF,$H40,FECHA,X$2),2)</f>
        <v>0</v>
      </c>
      <c r="Y40" s="11" cm="1">
        <f t="array" ref="Y40">ROUND(SUMIFS(PUNTO,STAFF,$H40,FECHA,Y$2),2)</f>
        <v>0</v>
      </c>
      <c r="Z40" s="11" cm="1">
        <f t="array" ref="Z40">ROUND(SUMIFS(PUNTO,STAFF,$H40,FECHA,Z$2),2)</f>
        <v>0</v>
      </c>
      <c r="AA40" s="11" cm="1">
        <f t="array" ref="AA40">ROUND(SUMIFS(PUNTO,STAFF,$H40,FECHA,AA$2),2)</f>
        <v>0</v>
      </c>
      <c r="AB40" s="11" cm="1">
        <f t="array" ref="AB40">ROUND(SUMIFS(PUNTO,STAFF,$H40,FECHA,AB$2),2)</f>
        <v>0</v>
      </c>
      <c r="AC40" s="11" cm="1">
        <f t="array" ref="AC40">ROUND(SUMIFS(PUNTO,STAFF,$H40,FECHA,AC$2),2)</f>
        <v>0</v>
      </c>
      <c r="AD40" s="11" cm="1">
        <f t="array" ref="AD40">ROUND(SUMIFS(PUNTO,STAFF,$H40,FECHA,AD$2),2)</f>
        <v>0</v>
      </c>
      <c r="AE40" s="11" cm="1">
        <f t="array" ref="AE40">ROUND(SUMIFS(PUNTO,STAFF,$H40,FECHA,AE$2),2)</f>
        <v>0</v>
      </c>
      <c r="AF40" s="11" cm="1">
        <f t="array" ref="AF40">ROUND(SUMIFS(PUNTO,STAFF,$H40,FECHA,AF$2),2)</f>
        <v>0</v>
      </c>
      <c r="AG40" s="11" cm="1">
        <f t="array" ref="AG40">ROUND(SUMIFS(PUNTO,STAFF,$H40,FECHA,AG$2),2)</f>
        <v>0</v>
      </c>
      <c r="AH40" s="11" cm="1">
        <f t="array" ref="AH40">ROUND(SUMIFS(PUNTO,STAFF,$H40,FECHA,AH$2),2)</f>
        <v>0</v>
      </c>
      <c r="AI40" s="11" cm="1">
        <f t="array" ref="AI40">ROUND(SUMIFS(PUNTO,STAFF,$H40,FECHA,AI$2),2)</f>
        <v>0</v>
      </c>
      <c r="AJ40" s="11" cm="1">
        <f t="array" ref="AJ40">ROUND(SUMIFS(PUNTO,STAFF,$H40,FECHA,AJ$2),2)</f>
        <v>0</v>
      </c>
      <c r="AK40" s="11" cm="1">
        <f t="array" ref="AK40">ROUND(SUMIFS(PUNTO,STAFF,$H40,FECHA,AK$2),2)</f>
        <v>0</v>
      </c>
      <c r="AL40" s="11" cm="1">
        <f t="array" ref="AL40">ROUND(SUMIFS(PUNTO,STAFF,$H40,FECHA,AL$2),2)</f>
        <v>0</v>
      </c>
      <c r="AM40" s="11" cm="1">
        <f t="array" ref="AM40">ROUND(SUMIFS(PUNTO,STAFF,$H40,FECHA,AM$2),2)</f>
        <v>0</v>
      </c>
      <c r="AN40" s="26">
        <f t="shared" si="1"/>
        <v>0</v>
      </c>
      <c r="AO40" s="26">
        <v>31.319999999999997</v>
      </c>
      <c r="AP40" s="27">
        <f>AN40+AO40</f>
        <v>31.319999999999997</v>
      </c>
      <c r="AQ40" s="26">
        <f>AO40*$AQ$2</f>
        <v>3.1319999999999997</v>
      </c>
      <c r="AR40" s="26"/>
      <c r="AS40" s="26"/>
      <c r="AT40" s="26"/>
      <c r="AU40" s="26"/>
      <c r="AV40" s="26"/>
      <c r="AW40" s="26"/>
      <c r="AX40" s="25">
        <f t="shared" si="2"/>
        <v>34.451999999999998</v>
      </c>
    </row>
    <row r="41" spans="1:50" x14ac:dyDescent="0.3">
      <c r="A41" s="41">
        <v>46026</v>
      </c>
      <c r="B41" s="42" t="s">
        <v>37</v>
      </c>
      <c r="C41" s="43">
        <v>46026.789583333331</v>
      </c>
      <c r="D41" s="43">
        <v>46027.294444444444</v>
      </c>
      <c r="E41" s="44">
        <f t="shared" si="0"/>
        <v>0.50486111111240461</v>
      </c>
      <c r="F41" s="45">
        <f t="shared" si="3"/>
        <v>2.02</v>
      </c>
      <c r="G41" s="46"/>
      <c r="H41" s="21" t="s">
        <v>63</v>
      </c>
      <c r="I41" s="19" cm="1">
        <f t="array" ref="I41">ROUND(SUMIFS(PUNTO,STAFF,$H41,FECHA,I$2),2)</f>
        <v>0</v>
      </c>
      <c r="J41" s="19" cm="1">
        <f t="array" ref="J41">ROUND(SUMIFS(PUNTO,STAFF,$H41,FECHA,J$2),2)</f>
        <v>0</v>
      </c>
      <c r="K41" s="19" cm="1">
        <f t="array" ref="K41">ROUND(SUMIFS(PUNTO,STAFF,$H41,FECHA,K$2),2)</f>
        <v>1.1599999999999999</v>
      </c>
      <c r="L41" s="19" cm="1">
        <f t="array" ref="L41">ROUND(SUMIFS(PUNTO,STAFF,$H41,FECHA,L$2),2)</f>
        <v>0</v>
      </c>
      <c r="M41" s="19" cm="1">
        <f t="array" ref="M41">ROUND(SUMIFS(PUNTO,STAFF,$H41,FECHA,M$2),2)</f>
        <v>0</v>
      </c>
      <c r="N41" s="19" cm="1">
        <f t="array" ref="N41">ROUND(SUMIFS(PUNTO,STAFF,$H41,FECHA,N$2),2)</f>
        <v>1.93</v>
      </c>
      <c r="O41" s="19" cm="1">
        <f t="array" ref="O41">ROUND(SUMIFS(PUNTO,STAFF,$H41,FECHA,O$2),2)</f>
        <v>0.51</v>
      </c>
      <c r="P41" s="19" cm="1">
        <f t="array" ref="P41">ROUND(SUMIFS(PUNTO,STAFF,$H41,FECHA,P$2),2)</f>
        <v>0</v>
      </c>
      <c r="Q41" s="19" cm="1">
        <f t="array" ref="Q41">ROUND(SUMIFS(PUNTO,STAFF,$H41,FECHA,Q$2),2)</f>
        <v>0</v>
      </c>
      <c r="R41" s="19" cm="1">
        <f t="array" ref="R41">ROUND(SUMIFS(PUNTO,STAFF,$H41,FECHA,R$2),2)</f>
        <v>0.78</v>
      </c>
      <c r="S41" s="19" cm="1">
        <f t="array" ref="S41">ROUND(SUMIFS(PUNTO,STAFF,$H41,FECHA,S$2),2)</f>
        <v>0</v>
      </c>
      <c r="T41" s="19" cm="1">
        <f t="array" ref="T41">ROUND(SUMIFS(PUNTO,STAFF,$H41,FECHA,T$2),2)</f>
        <v>0</v>
      </c>
      <c r="U41" s="19" cm="1">
        <f t="array" ref="U41">ROUND(SUMIFS(PUNTO,STAFF,$H41,FECHA,U$2),2)</f>
        <v>1.79</v>
      </c>
      <c r="V41" s="19" cm="1">
        <f t="array" ref="V41">ROUND(SUMIFS(PUNTO,STAFF,$H41,FECHA,V$2),2)</f>
        <v>0.88</v>
      </c>
      <c r="W41" s="19" cm="1">
        <f t="array" ref="W41">ROUND(SUMIFS(PUNTO,STAFF,$H41,FECHA,W$2),2)</f>
        <v>0</v>
      </c>
      <c r="X41" s="19" cm="1">
        <f t="array" ref="X41">ROUND(SUMIFS(PUNTO,STAFF,$H41,FECHA,X$2),2)</f>
        <v>0</v>
      </c>
      <c r="Y41" s="19" cm="1">
        <f t="array" ref="Y41">ROUND(SUMIFS(PUNTO,STAFF,$H41,FECHA,Y$2),2)</f>
        <v>0</v>
      </c>
      <c r="Z41" s="19" cm="1">
        <f t="array" ref="Z41">ROUND(SUMIFS(PUNTO,STAFF,$H41,FECHA,Z$2),2)</f>
        <v>0</v>
      </c>
      <c r="AA41" s="19" cm="1">
        <f t="array" ref="AA41">ROUND(SUMIFS(PUNTO,STAFF,$H41,FECHA,AA$2),2)</f>
        <v>0</v>
      </c>
      <c r="AB41" s="19" cm="1">
        <f t="array" ref="AB41">ROUND(SUMIFS(PUNTO,STAFF,$H41,FECHA,AB$2),2)</f>
        <v>2.0099999999999998</v>
      </c>
      <c r="AC41" s="19" cm="1">
        <f t="array" ref="AC41">ROUND(SUMIFS(PUNTO,STAFF,$H41,FECHA,AC$2),2)</f>
        <v>0.99</v>
      </c>
      <c r="AD41" s="19" cm="1">
        <f t="array" ref="AD41">ROUND(SUMIFS(PUNTO,STAFF,$H41,FECHA,AD$2),2)</f>
        <v>0</v>
      </c>
      <c r="AE41" s="19" cm="1">
        <f t="array" ref="AE41">ROUND(SUMIFS(PUNTO,STAFF,$H41,FECHA,AE$2),2)</f>
        <v>0</v>
      </c>
      <c r="AF41" s="19" cm="1">
        <f t="array" ref="AF41">ROUND(SUMIFS(PUNTO,STAFF,$H41,FECHA,AF$2),2)</f>
        <v>0</v>
      </c>
      <c r="AG41" s="19" cm="1">
        <f t="array" ref="AG41">ROUND(SUMIFS(PUNTO,STAFF,$H41,FECHA,AG$2),2)</f>
        <v>0</v>
      </c>
      <c r="AH41" s="19" cm="1">
        <f t="array" ref="AH41">ROUND(SUMIFS(PUNTO,STAFF,$H41,FECHA,AH$2),2)</f>
        <v>0</v>
      </c>
      <c r="AI41" s="19" cm="1">
        <f t="array" ref="AI41">ROUND(SUMIFS(PUNTO,STAFF,$H41,FECHA,AI$2),2)</f>
        <v>1.51</v>
      </c>
      <c r="AJ41" s="19" cm="1">
        <f t="array" ref="AJ41">ROUND(SUMIFS(PUNTO,STAFF,$H41,FECHA,AJ$2),2)</f>
        <v>0.89</v>
      </c>
      <c r="AK41" s="19" cm="1">
        <f t="array" ref="AK41">ROUND(SUMIFS(PUNTO,STAFF,$H41,FECHA,AK$2),2)</f>
        <v>0</v>
      </c>
      <c r="AL41" s="19" cm="1">
        <f t="array" ref="AL41">ROUND(SUMIFS(PUNTO,STAFF,$H41,FECHA,AL$2),2)</f>
        <v>0</v>
      </c>
      <c r="AM41" s="19" cm="1">
        <f t="array" ref="AM41">ROUND(SUMIFS(PUNTO,STAFF,$H41,FECHA,AM$2),2)</f>
        <v>0.85</v>
      </c>
      <c r="AN41" s="27">
        <f t="shared" si="1"/>
        <v>13.299999999999999</v>
      </c>
      <c r="AO41" s="27">
        <v>4.2</v>
      </c>
      <c r="AP41" s="27">
        <f>AN41+AO41</f>
        <v>17.5</v>
      </c>
      <c r="AQ41" s="27"/>
      <c r="AR41" s="27"/>
      <c r="AS41" s="27"/>
      <c r="AT41" s="27"/>
      <c r="AU41" s="27">
        <f>AP41*AU2</f>
        <v>0.875</v>
      </c>
      <c r="AV41" s="27"/>
      <c r="AW41" s="27"/>
      <c r="AX41" s="25">
        <f t="shared" si="2"/>
        <v>18.375</v>
      </c>
    </row>
    <row r="42" spans="1:50" x14ac:dyDescent="0.3">
      <c r="A42" s="4">
        <v>46027</v>
      </c>
      <c r="B42" s="1" t="s">
        <v>45</v>
      </c>
      <c r="C42" s="2">
        <v>0.24583333333333332</v>
      </c>
      <c r="D42" s="2">
        <v>0.80277777777777781</v>
      </c>
      <c r="E42" s="5">
        <f t="shared" si="0"/>
        <v>0.55694444444444446</v>
      </c>
      <c r="F42" s="6">
        <f t="shared" si="3"/>
        <v>2.23</v>
      </c>
      <c r="H42" s="24" t="s">
        <v>64</v>
      </c>
      <c r="I42" s="11" cm="1">
        <f t="array" ref="I42">ROUND(SUMIFS(PUNTO,STAFF,$H42,FECHA,I$2),2)</f>
        <v>0</v>
      </c>
      <c r="J42" s="11" cm="1">
        <f t="array" ref="J42">ROUND(SUMIFS(PUNTO,STAFF,$H42,FECHA,J$2),2)</f>
        <v>0</v>
      </c>
      <c r="K42" s="11" cm="1">
        <f t="array" ref="K42">ROUND(SUMIFS(PUNTO,STAFF,$H42,FECHA,K$2),2)</f>
        <v>2.09</v>
      </c>
      <c r="L42" s="11" cm="1">
        <f t="array" ref="L42">ROUND(SUMIFS(PUNTO,STAFF,$H42,FECHA,L$2),2)</f>
        <v>0</v>
      </c>
      <c r="M42" s="11" cm="1">
        <f t="array" ref="M42">ROUND(SUMIFS(PUNTO,STAFF,$H42,FECHA,M$2),2)</f>
        <v>0</v>
      </c>
      <c r="N42" s="11" cm="1">
        <f t="array" ref="N42">ROUND(SUMIFS(PUNTO,STAFF,$H42,FECHA,N$2),2)</f>
        <v>0</v>
      </c>
      <c r="O42" s="11" cm="1">
        <f t="array" ref="O42">ROUND(SUMIFS(PUNTO,STAFF,$H42,FECHA,O$2),2)</f>
        <v>0</v>
      </c>
      <c r="P42" s="11" cm="1">
        <f t="array" ref="P42">ROUND(SUMIFS(PUNTO,STAFF,$H42,FECHA,P$2),2)</f>
        <v>0</v>
      </c>
      <c r="Q42" s="11" cm="1">
        <f t="array" ref="Q42">ROUND(SUMIFS(PUNTO,STAFF,$H42,FECHA,Q$2),2)</f>
        <v>0</v>
      </c>
      <c r="R42" s="11" cm="1">
        <f t="array" ref="R42">ROUND(SUMIFS(PUNTO,STAFF,$H42,FECHA,R$2),2)</f>
        <v>0.71</v>
      </c>
      <c r="S42" s="11" cm="1">
        <f t="array" ref="S42">ROUND(SUMIFS(PUNTO,STAFF,$H42,FECHA,S$2),2)</f>
        <v>0</v>
      </c>
      <c r="T42" s="11" cm="1">
        <f t="array" ref="T42">ROUND(SUMIFS(PUNTO,STAFF,$H42,FECHA,T$2),2)</f>
        <v>0.98</v>
      </c>
      <c r="U42" s="11" cm="1">
        <f t="array" ref="U42">ROUND(SUMIFS(PUNTO,STAFF,$H42,FECHA,U$2),2)</f>
        <v>0</v>
      </c>
      <c r="V42" s="11" cm="1">
        <f t="array" ref="V42">ROUND(SUMIFS(PUNTO,STAFF,$H42,FECHA,V$2),2)</f>
        <v>0</v>
      </c>
      <c r="W42" s="11" cm="1">
        <f t="array" ref="W42">ROUND(SUMIFS(PUNTO,STAFF,$H42,FECHA,W$2),2)</f>
        <v>0</v>
      </c>
      <c r="X42" s="11" cm="1">
        <f t="array" ref="X42">ROUND(SUMIFS(PUNTO,STAFF,$H42,FECHA,X$2),2)</f>
        <v>0</v>
      </c>
      <c r="Y42" s="11" cm="1">
        <f t="array" ref="Y42">ROUND(SUMIFS(PUNTO,STAFF,$H42,FECHA,Y$2),2)</f>
        <v>0.84</v>
      </c>
      <c r="Z42" s="11" cm="1">
        <f t="array" ref="Z42">ROUND(SUMIFS(PUNTO,STAFF,$H42,FECHA,Z$2),2)</f>
        <v>0</v>
      </c>
      <c r="AA42" s="11" cm="1">
        <f t="array" ref="AA42">ROUND(SUMIFS(PUNTO,STAFF,$H42,FECHA,AA$2),2)</f>
        <v>1.6</v>
      </c>
      <c r="AB42" s="11" cm="1">
        <f t="array" ref="AB42">ROUND(SUMIFS(PUNTO,STAFF,$H42,FECHA,AB$2),2)</f>
        <v>0</v>
      </c>
      <c r="AC42" s="11" cm="1">
        <f t="array" ref="AC42">ROUND(SUMIFS(PUNTO,STAFF,$H42,FECHA,AC$2),2)</f>
        <v>0</v>
      </c>
      <c r="AD42" s="11" cm="1">
        <f t="array" ref="AD42">ROUND(SUMIFS(PUNTO,STAFF,$H42,FECHA,AD$2),2)</f>
        <v>0</v>
      </c>
      <c r="AE42" s="11" cm="1">
        <f t="array" ref="AE42">ROUND(SUMIFS(PUNTO,STAFF,$H42,FECHA,AE$2),2)</f>
        <v>0</v>
      </c>
      <c r="AF42" s="11" cm="1">
        <f t="array" ref="AF42">ROUND(SUMIFS(PUNTO,STAFF,$H42,FECHA,AF$2),2)</f>
        <v>1.71</v>
      </c>
      <c r="AG42" s="11" cm="1">
        <f t="array" ref="AG42">ROUND(SUMIFS(PUNTO,STAFF,$H42,FECHA,AG$2),2)</f>
        <v>0</v>
      </c>
      <c r="AH42" s="11" cm="1">
        <f t="array" ref="AH42">ROUND(SUMIFS(PUNTO,STAFF,$H42,FECHA,AH$2),2)</f>
        <v>1.06</v>
      </c>
      <c r="AI42" s="11" cm="1">
        <f t="array" ref="AI42">ROUND(SUMIFS(PUNTO,STAFF,$H42,FECHA,AI$2),2)</f>
        <v>0</v>
      </c>
      <c r="AJ42" s="11" cm="1">
        <f t="array" ref="AJ42">ROUND(SUMIFS(PUNTO,STAFF,$H42,FECHA,AJ$2),2)</f>
        <v>0</v>
      </c>
      <c r="AK42" s="11" cm="1">
        <f t="array" ref="AK42">ROUND(SUMIFS(PUNTO,STAFF,$H42,FECHA,AK$2),2)</f>
        <v>0</v>
      </c>
      <c r="AL42" s="11" cm="1">
        <f t="array" ref="AL42">ROUND(SUMIFS(PUNTO,STAFF,$H42,FECHA,AL$2),2)</f>
        <v>0</v>
      </c>
      <c r="AM42" s="11" cm="1">
        <f t="array" ref="AM42">ROUND(SUMIFS(PUNTO,STAFF,$H42,FECHA,AM$2),2)</f>
        <v>0</v>
      </c>
      <c r="AN42" s="26">
        <f t="shared" si="1"/>
        <v>8.99</v>
      </c>
      <c r="AO42" s="26"/>
      <c r="AP42" s="27">
        <f>AN42+AO42</f>
        <v>8.99</v>
      </c>
      <c r="AQ42" s="26"/>
      <c r="AR42" s="26"/>
      <c r="AS42" s="26"/>
      <c r="AT42" s="26"/>
      <c r="AU42" s="26"/>
      <c r="AV42" s="26"/>
      <c r="AW42" s="26"/>
      <c r="AX42" s="37">
        <f t="shared" si="2"/>
        <v>8.99</v>
      </c>
    </row>
    <row r="43" spans="1:50" x14ac:dyDescent="0.3">
      <c r="A43" s="4">
        <v>46027</v>
      </c>
      <c r="B43" s="1" t="s">
        <v>26</v>
      </c>
      <c r="C43" s="2">
        <v>0.24791666666666667</v>
      </c>
      <c r="D43" s="2">
        <v>0.5708333333333333</v>
      </c>
      <c r="E43" s="5">
        <f t="shared" si="0"/>
        <v>0.32291666666666663</v>
      </c>
      <c r="F43" s="6">
        <f t="shared" si="3"/>
        <v>1.29</v>
      </c>
      <c r="H43" s="34" t="s">
        <v>60</v>
      </c>
      <c r="I43" s="35">
        <f t="shared" ref="I43:AX43" si="5">SUM(I3:I42)</f>
        <v>12.41</v>
      </c>
      <c r="J43" s="35">
        <f t="shared" si="5"/>
        <v>19.010000000000002</v>
      </c>
      <c r="K43" s="35">
        <f t="shared" si="5"/>
        <v>18.09</v>
      </c>
      <c r="L43" s="35">
        <f t="shared" si="5"/>
        <v>8.5500000000000007</v>
      </c>
      <c r="M43" s="35">
        <f t="shared" si="5"/>
        <v>28.35</v>
      </c>
      <c r="N43" s="35">
        <f t="shared" si="5"/>
        <v>35.199999999999996</v>
      </c>
      <c r="O43" s="35">
        <f t="shared" si="5"/>
        <v>34.679999999999993</v>
      </c>
      <c r="P43" s="35">
        <f t="shared" si="5"/>
        <v>37.280000000000008</v>
      </c>
      <c r="Q43" s="35">
        <f t="shared" si="5"/>
        <v>36.890000000000008</v>
      </c>
      <c r="R43" s="35">
        <f t="shared" si="5"/>
        <v>20.14</v>
      </c>
      <c r="S43" s="35">
        <f t="shared" si="5"/>
        <v>9.48</v>
      </c>
      <c r="T43" s="35">
        <f t="shared" si="5"/>
        <v>35.230000000000004</v>
      </c>
      <c r="U43" s="35">
        <f t="shared" si="5"/>
        <v>39.169999999999995</v>
      </c>
      <c r="V43" s="35">
        <f t="shared" si="5"/>
        <v>37.42</v>
      </c>
      <c r="W43" s="35">
        <f t="shared" si="5"/>
        <v>33.95000000000001</v>
      </c>
      <c r="X43" s="35">
        <f t="shared" si="5"/>
        <v>37.209999999999994</v>
      </c>
      <c r="Y43" s="35">
        <f t="shared" si="5"/>
        <v>23.709999999999997</v>
      </c>
      <c r="Z43" s="35">
        <f t="shared" si="5"/>
        <v>10.38</v>
      </c>
      <c r="AA43" s="35">
        <f t="shared" si="5"/>
        <v>35.589999999999996</v>
      </c>
      <c r="AB43" s="35">
        <f t="shared" si="5"/>
        <v>30.75</v>
      </c>
      <c r="AC43" s="35">
        <f t="shared" si="5"/>
        <v>34.46</v>
      </c>
      <c r="AD43" s="35">
        <f t="shared" si="5"/>
        <v>35.9</v>
      </c>
      <c r="AE43" s="35">
        <f t="shared" si="5"/>
        <v>30.459999999999997</v>
      </c>
      <c r="AF43" s="35">
        <f t="shared" si="5"/>
        <v>19.350000000000001</v>
      </c>
      <c r="AG43" s="35">
        <f t="shared" si="5"/>
        <v>8.129999999999999</v>
      </c>
      <c r="AH43" s="35">
        <f t="shared" si="5"/>
        <v>31.179999999999996</v>
      </c>
      <c r="AI43" s="35">
        <f t="shared" si="5"/>
        <v>35.389999999999993</v>
      </c>
      <c r="AJ43" s="35">
        <f t="shared" si="5"/>
        <v>38.53</v>
      </c>
      <c r="AK43" s="35">
        <f t="shared" si="5"/>
        <v>33.730000000000004</v>
      </c>
      <c r="AL43" s="35">
        <f t="shared" si="5"/>
        <v>35.499999999999993</v>
      </c>
      <c r="AM43" s="35">
        <f t="shared" si="5"/>
        <v>19.82</v>
      </c>
      <c r="AN43" s="36">
        <f t="shared" si="5"/>
        <v>865.93999999999971</v>
      </c>
      <c r="AO43" s="36">
        <f t="shared" si="5"/>
        <v>215.79999999999995</v>
      </c>
      <c r="AP43" s="36">
        <f t="shared" si="5"/>
        <v>1081.7399999999996</v>
      </c>
      <c r="AQ43" s="36">
        <f t="shared" si="5"/>
        <v>85.788000000000025</v>
      </c>
      <c r="AR43" s="36">
        <f t="shared" si="5"/>
        <v>10.307</v>
      </c>
      <c r="AS43" s="36">
        <f t="shared" si="5"/>
        <v>8.7760000000000016</v>
      </c>
      <c r="AT43" s="36">
        <f t="shared" si="5"/>
        <v>5.5000000000000009</v>
      </c>
      <c r="AU43" s="36">
        <f t="shared" si="5"/>
        <v>6.3750000000000009</v>
      </c>
      <c r="AV43" s="36">
        <f t="shared" si="5"/>
        <v>2</v>
      </c>
      <c r="AW43" s="36">
        <f t="shared" si="5"/>
        <v>71.270416666666662</v>
      </c>
      <c r="AX43" s="36">
        <f t="shared" si="5"/>
        <v>1271.7564166666668</v>
      </c>
    </row>
    <row r="44" spans="1:50" ht="19.95" customHeight="1" x14ac:dyDescent="0.3">
      <c r="A44" s="4">
        <v>46027</v>
      </c>
      <c r="B44" s="1" t="s">
        <v>38</v>
      </c>
      <c r="C44" s="2">
        <v>0.28472222222222221</v>
      </c>
      <c r="D44" s="2">
        <v>0.7993055555555556</v>
      </c>
      <c r="E44" s="5">
        <f t="shared" si="0"/>
        <v>0.51458333333333339</v>
      </c>
      <c r="F44" s="6">
        <f t="shared" si="3"/>
        <v>2.06</v>
      </c>
    </row>
    <row r="45" spans="1:50" x14ac:dyDescent="0.3">
      <c r="A45" s="4">
        <v>46027</v>
      </c>
      <c r="B45" s="1" t="s">
        <v>23</v>
      </c>
      <c r="C45" s="2">
        <v>0.28819444444444442</v>
      </c>
      <c r="D45" s="2">
        <v>0.79861111111111116</v>
      </c>
      <c r="E45" s="5">
        <f t="shared" si="0"/>
        <v>0.51041666666666674</v>
      </c>
      <c r="F45" s="6">
        <f t="shared" si="3"/>
        <v>2.04</v>
      </c>
      <c r="AR45" s="39">
        <f>SUM(AQ43:AV43)</f>
        <v>118.74600000000002</v>
      </c>
    </row>
    <row r="46" spans="1:50" x14ac:dyDescent="0.3">
      <c r="A46" s="4">
        <v>46027</v>
      </c>
      <c r="B46" s="1" t="s">
        <v>29</v>
      </c>
      <c r="C46" s="2">
        <v>46027.289583333331</v>
      </c>
      <c r="D46" s="2">
        <v>46028.061111111114</v>
      </c>
      <c r="E46" s="5">
        <f t="shared" si="0"/>
        <v>0.77152777778246673</v>
      </c>
      <c r="F46" s="6">
        <f t="shared" si="3"/>
        <v>3.09</v>
      </c>
      <c r="AR46" s="40">
        <f>AR45*500</f>
        <v>59373.000000000015</v>
      </c>
      <c r="AS46" s="40">
        <f>AW43*600</f>
        <v>42762.25</v>
      </c>
    </row>
    <row r="47" spans="1:50" x14ac:dyDescent="0.3">
      <c r="A47" s="4">
        <v>46027</v>
      </c>
      <c r="B47" s="1" t="s">
        <v>47</v>
      </c>
      <c r="C47" s="2">
        <v>0.2902777777777778</v>
      </c>
      <c r="D47" s="2">
        <v>0.80208333333333337</v>
      </c>
      <c r="E47" s="5">
        <f t="shared" si="0"/>
        <v>0.51180555555555562</v>
      </c>
      <c r="F47" s="6">
        <f t="shared" si="3"/>
        <v>2.0499999999999998</v>
      </c>
      <c r="AR47" s="40">
        <f>AR46+AS46</f>
        <v>102135.25000000001</v>
      </c>
    </row>
    <row r="48" spans="1:50" x14ac:dyDescent="0.3">
      <c r="A48" s="4">
        <v>46027</v>
      </c>
      <c r="B48" s="1" t="s">
        <v>6</v>
      </c>
      <c r="C48" s="2">
        <v>0.29444444444444445</v>
      </c>
      <c r="D48" s="2">
        <v>0.5444444444444444</v>
      </c>
      <c r="E48" s="5">
        <f t="shared" si="0"/>
        <v>0.24999999999999994</v>
      </c>
      <c r="F48" s="6">
        <f t="shared" si="3"/>
        <v>1</v>
      </c>
    </row>
    <row r="49" spans="1:6" x14ac:dyDescent="0.3">
      <c r="A49" s="4">
        <v>46027</v>
      </c>
      <c r="B49" s="1" t="s">
        <v>8</v>
      </c>
      <c r="C49" s="2">
        <v>0.2951388888888889</v>
      </c>
      <c r="D49" s="2">
        <v>0.85902777777777772</v>
      </c>
      <c r="E49" s="5">
        <f t="shared" si="0"/>
        <v>0.56388888888888888</v>
      </c>
      <c r="F49" s="6">
        <f t="shared" si="3"/>
        <v>2.2599999999999998</v>
      </c>
    </row>
    <row r="50" spans="1:6" x14ac:dyDescent="0.3">
      <c r="A50" s="4">
        <v>46027</v>
      </c>
      <c r="B50" s="1" t="s">
        <v>28</v>
      </c>
      <c r="C50" s="2">
        <v>0.29583333333333334</v>
      </c>
      <c r="D50" s="2">
        <v>0.48541666666666666</v>
      </c>
      <c r="E50" s="5">
        <f t="shared" si="0"/>
        <v>0.18958333333333333</v>
      </c>
      <c r="F50" s="6">
        <f t="shared" si="3"/>
        <v>0.76</v>
      </c>
    </row>
    <row r="51" spans="1:6" x14ac:dyDescent="0.3">
      <c r="A51" s="4">
        <v>46027</v>
      </c>
      <c r="B51" s="1" t="s">
        <v>32</v>
      </c>
      <c r="C51" s="2">
        <v>0.29930555555555555</v>
      </c>
      <c r="D51" s="2">
        <v>0.46944444444444444</v>
      </c>
      <c r="E51" s="5">
        <f t="shared" si="0"/>
        <v>0.1701388888888889</v>
      </c>
      <c r="F51" s="6">
        <f t="shared" si="3"/>
        <v>0.68</v>
      </c>
    </row>
    <row r="52" spans="1:6" x14ac:dyDescent="0.3">
      <c r="A52" s="4">
        <v>46027</v>
      </c>
      <c r="B52" s="1" t="s">
        <v>35</v>
      </c>
      <c r="C52" s="2">
        <v>0.30763888888888891</v>
      </c>
      <c r="D52" s="2">
        <v>0.74861111111111112</v>
      </c>
      <c r="E52" s="5">
        <f t="shared" si="0"/>
        <v>0.44097222222222221</v>
      </c>
      <c r="F52" s="6">
        <f t="shared" si="3"/>
        <v>1.76</v>
      </c>
    </row>
    <row r="53" spans="1:6" x14ac:dyDescent="0.3">
      <c r="A53" s="4">
        <v>46027</v>
      </c>
      <c r="B53" s="1" t="s">
        <v>39</v>
      </c>
      <c r="C53" s="2">
        <v>0.31111111111111112</v>
      </c>
      <c r="D53" s="2">
        <v>0.81597222222222221</v>
      </c>
      <c r="E53" s="5">
        <f t="shared" si="0"/>
        <v>0.50486111111111109</v>
      </c>
      <c r="F53" s="6">
        <f t="shared" si="3"/>
        <v>2.02</v>
      </c>
    </row>
    <row r="54" spans="1:6" x14ac:dyDescent="0.3">
      <c r="A54" s="4">
        <v>46027</v>
      </c>
      <c r="B54" s="1" t="s">
        <v>27</v>
      </c>
      <c r="C54" s="2">
        <v>46027.313888888886</v>
      </c>
      <c r="D54" s="2">
        <v>46028.061111111114</v>
      </c>
      <c r="E54" s="5">
        <f t="shared" si="0"/>
        <v>0.74722222222771961</v>
      </c>
      <c r="F54" s="6">
        <f t="shared" si="3"/>
        <v>2.99</v>
      </c>
    </row>
    <row r="55" spans="1:6" x14ac:dyDescent="0.3">
      <c r="A55" s="4">
        <v>46027</v>
      </c>
      <c r="B55" s="1" t="s">
        <v>43</v>
      </c>
      <c r="C55" s="2">
        <v>46027.781944444447</v>
      </c>
      <c r="D55" s="2">
        <v>46028.304166666669</v>
      </c>
      <c r="E55" s="5">
        <f t="shared" si="0"/>
        <v>0.52222222222189885</v>
      </c>
      <c r="F55" s="6">
        <f t="shared" si="3"/>
        <v>2.09</v>
      </c>
    </row>
    <row r="56" spans="1:6" x14ac:dyDescent="0.3">
      <c r="A56" s="4">
        <v>46027</v>
      </c>
      <c r="B56" s="1" t="s">
        <v>50</v>
      </c>
      <c r="C56" s="2">
        <v>46027.786805555559</v>
      </c>
      <c r="D56" s="2">
        <v>46028.294444444444</v>
      </c>
      <c r="E56" s="5">
        <f t="shared" si="0"/>
        <v>0.507638888884685</v>
      </c>
      <c r="F56" s="6">
        <f t="shared" si="3"/>
        <v>2.0299999999999998</v>
      </c>
    </row>
    <row r="57" spans="1:6" x14ac:dyDescent="0.3">
      <c r="A57" s="4">
        <v>46028</v>
      </c>
      <c r="B57" s="1" t="s">
        <v>47</v>
      </c>
      <c r="C57" s="2">
        <v>0.24097222222222223</v>
      </c>
      <c r="D57" s="2">
        <v>0.80208333333333337</v>
      </c>
      <c r="E57" s="5">
        <f t="shared" si="0"/>
        <v>0.56111111111111112</v>
      </c>
      <c r="F57" s="6">
        <f t="shared" si="3"/>
        <v>2.2400000000000002</v>
      </c>
    </row>
    <row r="58" spans="1:6" x14ac:dyDescent="0.3">
      <c r="A58" s="4">
        <v>46028</v>
      </c>
      <c r="B58" s="1" t="s">
        <v>8</v>
      </c>
      <c r="C58" s="2">
        <v>0.28263888888888888</v>
      </c>
      <c r="D58" s="2">
        <v>0.82291666666666663</v>
      </c>
      <c r="E58" s="5">
        <f t="shared" si="0"/>
        <v>0.54027777777777775</v>
      </c>
      <c r="F58" s="6">
        <f t="shared" si="3"/>
        <v>2.16</v>
      </c>
    </row>
    <row r="59" spans="1:6" x14ac:dyDescent="0.3">
      <c r="A59" s="4">
        <v>46028</v>
      </c>
      <c r="B59" s="1" t="s">
        <v>35</v>
      </c>
      <c r="C59" s="2">
        <v>0.28541666666666665</v>
      </c>
      <c r="D59" s="2">
        <v>0.80208333333333337</v>
      </c>
      <c r="E59" s="5">
        <f t="shared" si="0"/>
        <v>0.51666666666666672</v>
      </c>
      <c r="F59" s="6">
        <f t="shared" si="3"/>
        <v>2.0699999999999998</v>
      </c>
    </row>
    <row r="60" spans="1:6" x14ac:dyDescent="0.3">
      <c r="A60" s="4">
        <v>46028</v>
      </c>
      <c r="B60" s="1" t="s">
        <v>32</v>
      </c>
      <c r="C60" s="2">
        <v>46028.295138888891</v>
      </c>
      <c r="D60" s="2">
        <v>46029.068055555559</v>
      </c>
      <c r="E60" s="5">
        <f t="shared" si="0"/>
        <v>0.77291666666860692</v>
      </c>
      <c r="F60" s="6">
        <f t="shared" si="3"/>
        <v>3.09</v>
      </c>
    </row>
    <row r="61" spans="1:6" x14ac:dyDescent="0.3">
      <c r="A61" s="4">
        <v>46028</v>
      </c>
      <c r="B61" s="1" t="s">
        <v>33</v>
      </c>
      <c r="C61" s="2">
        <v>0.29583333333333334</v>
      </c>
      <c r="D61" s="2">
        <v>0.75694444444444442</v>
      </c>
      <c r="E61" s="5">
        <f t="shared" si="0"/>
        <v>0.46111111111111108</v>
      </c>
      <c r="F61" s="6">
        <f t="shared" si="3"/>
        <v>1.84</v>
      </c>
    </row>
    <row r="62" spans="1:6" x14ac:dyDescent="0.3">
      <c r="A62" s="4">
        <v>46028</v>
      </c>
      <c r="B62" s="1" t="s">
        <v>36</v>
      </c>
      <c r="C62" s="2">
        <v>0.29652777777777778</v>
      </c>
      <c r="D62" s="2">
        <v>0.81111111111111112</v>
      </c>
      <c r="E62" s="5">
        <f t="shared" si="0"/>
        <v>0.51458333333333339</v>
      </c>
      <c r="F62" s="6">
        <f t="shared" si="3"/>
        <v>2.06</v>
      </c>
    </row>
    <row r="63" spans="1:6" x14ac:dyDescent="0.3">
      <c r="A63" s="4">
        <v>46028</v>
      </c>
      <c r="B63" s="1" t="s">
        <v>28</v>
      </c>
      <c r="C63" s="2">
        <v>0.30277777777777776</v>
      </c>
      <c r="D63" s="2">
        <v>0.8041666666666667</v>
      </c>
      <c r="E63" s="5">
        <f t="shared" si="0"/>
        <v>0.50138888888888888</v>
      </c>
      <c r="F63" s="6">
        <f t="shared" si="3"/>
        <v>2.0099999999999998</v>
      </c>
    </row>
    <row r="64" spans="1:6" x14ac:dyDescent="0.3">
      <c r="A64" s="4">
        <v>46028</v>
      </c>
      <c r="B64" s="1" t="s">
        <v>34</v>
      </c>
      <c r="C64" s="2">
        <v>0.30277777777777776</v>
      </c>
      <c r="D64" s="2">
        <v>0.77847222222222223</v>
      </c>
      <c r="E64" s="5">
        <f t="shared" si="0"/>
        <v>0.47569444444444448</v>
      </c>
      <c r="F64" s="6">
        <f t="shared" si="3"/>
        <v>1.9</v>
      </c>
    </row>
    <row r="65" spans="1:6" x14ac:dyDescent="0.3">
      <c r="A65" s="4">
        <v>46028</v>
      </c>
      <c r="B65" s="1" t="s">
        <v>63</v>
      </c>
      <c r="C65" s="2">
        <v>0.30763888888888891</v>
      </c>
      <c r="D65" s="2">
        <v>0.79097222222222219</v>
      </c>
      <c r="E65" s="5">
        <f t="shared" si="0"/>
        <v>0.48333333333333328</v>
      </c>
      <c r="F65" s="6">
        <f t="shared" si="3"/>
        <v>1.93</v>
      </c>
    </row>
    <row r="66" spans="1:6" x14ac:dyDescent="0.3">
      <c r="A66" s="4">
        <v>46028</v>
      </c>
      <c r="B66" s="1" t="s">
        <v>39</v>
      </c>
      <c r="C66" s="2">
        <v>0.31180555555555556</v>
      </c>
      <c r="D66" s="2">
        <v>0.80833333333333335</v>
      </c>
      <c r="E66" s="5">
        <f t="shared" si="0"/>
        <v>0.49652777777777779</v>
      </c>
      <c r="F66" s="6">
        <f t="shared" si="3"/>
        <v>1.99</v>
      </c>
    </row>
    <row r="67" spans="1:6" x14ac:dyDescent="0.3">
      <c r="A67" s="4">
        <v>46028</v>
      </c>
      <c r="B67" s="1" t="s">
        <v>7</v>
      </c>
      <c r="C67" s="2">
        <v>0.31180555555555556</v>
      </c>
      <c r="D67" s="2">
        <v>0.80555555555555558</v>
      </c>
      <c r="E67" s="5">
        <f t="shared" ref="E67:E130" si="6">D67-C67</f>
        <v>0.49375000000000002</v>
      </c>
      <c r="F67" s="6">
        <f t="shared" ref="F67:F130" si="7">ROUND(VALUE(E67)*4,2)</f>
        <v>1.98</v>
      </c>
    </row>
    <row r="68" spans="1:6" x14ac:dyDescent="0.3">
      <c r="A68" s="4">
        <v>46028</v>
      </c>
      <c r="B68" s="1" t="s">
        <v>38</v>
      </c>
      <c r="C68" s="2">
        <v>0.31666666666666665</v>
      </c>
      <c r="D68" s="2">
        <v>0.98958333333333337</v>
      </c>
      <c r="E68" s="5">
        <f t="shared" si="6"/>
        <v>0.67291666666666672</v>
      </c>
      <c r="F68" s="6">
        <f t="shared" si="7"/>
        <v>2.69</v>
      </c>
    </row>
    <row r="69" spans="1:6" x14ac:dyDescent="0.3">
      <c r="A69" s="4">
        <v>46028</v>
      </c>
      <c r="B69" s="1" t="s">
        <v>26</v>
      </c>
      <c r="C69" s="2">
        <v>0.32708333333333334</v>
      </c>
      <c r="D69" s="2">
        <v>0.79861111111111116</v>
      </c>
      <c r="E69" s="5">
        <f t="shared" si="6"/>
        <v>0.47152777777777782</v>
      </c>
      <c r="F69" s="6">
        <f t="shared" si="7"/>
        <v>1.89</v>
      </c>
    </row>
    <row r="70" spans="1:6" x14ac:dyDescent="0.3">
      <c r="A70" s="4">
        <v>46028</v>
      </c>
      <c r="B70" s="1" t="s">
        <v>23</v>
      </c>
      <c r="C70" s="2">
        <v>0.34791666666666665</v>
      </c>
      <c r="D70" s="2">
        <v>0.80833333333333335</v>
      </c>
      <c r="E70" s="5">
        <f t="shared" si="6"/>
        <v>0.4604166666666667</v>
      </c>
      <c r="F70" s="6">
        <f t="shared" si="7"/>
        <v>1.84</v>
      </c>
    </row>
    <row r="71" spans="1:6" x14ac:dyDescent="0.3">
      <c r="A71" s="4">
        <v>46028</v>
      </c>
      <c r="B71" s="1" t="s">
        <v>31</v>
      </c>
      <c r="C71" s="2">
        <v>0.49861111111111112</v>
      </c>
      <c r="D71" s="2">
        <v>0.85624999999999996</v>
      </c>
      <c r="E71" s="5">
        <f t="shared" si="6"/>
        <v>0.35763888888888884</v>
      </c>
      <c r="F71" s="6">
        <f t="shared" si="7"/>
        <v>1.43</v>
      </c>
    </row>
    <row r="72" spans="1:6" x14ac:dyDescent="0.3">
      <c r="A72" s="4">
        <v>46028</v>
      </c>
      <c r="B72" s="1" t="s">
        <v>4</v>
      </c>
      <c r="C72" s="2">
        <v>46028.788194444445</v>
      </c>
      <c r="D72" s="2">
        <v>46029.304166666669</v>
      </c>
      <c r="E72" s="5">
        <f t="shared" si="6"/>
        <v>0.51597222222335404</v>
      </c>
      <c r="F72" s="6">
        <f t="shared" si="7"/>
        <v>2.06</v>
      </c>
    </row>
    <row r="73" spans="1:6" x14ac:dyDescent="0.3">
      <c r="A73" s="4">
        <v>46028</v>
      </c>
      <c r="B73" s="1" t="s">
        <v>45</v>
      </c>
      <c r="C73" s="2">
        <v>46028.798611111109</v>
      </c>
      <c r="D73" s="2">
        <v>46029.304166666669</v>
      </c>
      <c r="E73" s="5">
        <f t="shared" si="6"/>
        <v>0.50555555555911269</v>
      </c>
      <c r="F73" s="6">
        <f t="shared" si="7"/>
        <v>2.02</v>
      </c>
    </row>
    <row r="74" spans="1:6" x14ac:dyDescent="0.3">
      <c r="A74" s="4">
        <v>46029</v>
      </c>
      <c r="B74" s="1" t="s">
        <v>43</v>
      </c>
      <c r="C74" s="2">
        <v>0.2298611111111111</v>
      </c>
      <c r="D74" s="2">
        <v>0.62430555555555556</v>
      </c>
      <c r="E74" s="5">
        <f t="shared" si="6"/>
        <v>0.39444444444444449</v>
      </c>
      <c r="F74" s="6">
        <f t="shared" si="7"/>
        <v>1.58</v>
      </c>
    </row>
    <row r="75" spans="1:6" x14ac:dyDescent="0.3">
      <c r="A75" s="4">
        <v>46029</v>
      </c>
      <c r="B75" s="1" t="s">
        <v>6</v>
      </c>
      <c r="C75" s="2">
        <v>0.23125000000000001</v>
      </c>
      <c r="D75" s="2">
        <v>0.80902777777777779</v>
      </c>
      <c r="E75" s="5">
        <f t="shared" si="6"/>
        <v>0.57777777777777772</v>
      </c>
      <c r="F75" s="6">
        <f t="shared" si="7"/>
        <v>2.31</v>
      </c>
    </row>
    <row r="76" spans="1:6" x14ac:dyDescent="0.3">
      <c r="A76" s="4">
        <v>46029</v>
      </c>
      <c r="B76" s="1" t="s">
        <v>31</v>
      </c>
      <c r="C76" s="2">
        <v>0.24166666666666667</v>
      </c>
      <c r="D76" s="2">
        <v>0.43333333333333335</v>
      </c>
      <c r="E76" s="5">
        <f t="shared" si="6"/>
        <v>0.19166666666666668</v>
      </c>
      <c r="F76" s="6">
        <f t="shared" si="7"/>
        <v>0.77</v>
      </c>
    </row>
    <row r="77" spans="1:6" x14ac:dyDescent="0.3">
      <c r="A77" s="4">
        <v>46029</v>
      </c>
      <c r="B77" s="1" t="s">
        <v>37</v>
      </c>
      <c r="C77" s="2">
        <v>0.27569444444444446</v>
      </c>
      <c r="D77" s="2">
        <v>0.79791666666666672</v>
      </c>
      <c r="E77" s="5">
        <f t="shared" si="6"/>
        <v>0.52222222222222225</v>
      </c>
      <c r="F77" s="6">
        <f t="shared" si="7"/>
        <v>2.09</v>
      </c>
    </row>
    <row r="78" spans="1:6" x14ac:dyDescent="0.3">
      <c r="A78" s="4">
        <v>46029</v>
      </c>
      <c r="B78" s="1" t="s">
        <v>47</v>
      </c>
      <c r="C78" s="2">
        <v>46029.282638888886</v>
      </c>
      <c r="D78" s="2">
        <v>46030.039583333331</v>
      </c>
      <c r="E78" s="5">
        <f t="shared" si="6"/>
        <v>0.75694444444525288</v>
      </c>
      <c r="F78" s="6">
        <f t="shared" si="7"/>
        <v>3.03</v>
      </c>
    </row>
    <row r="79" spans="1:6" x14ac:dyDescent="0.3">
      <c r="A79" s="4">
        <v>46029</v>
      </c>
      <c r="B79" s="1" t="s">
        <v>23</v>
      </c>
      <c r="C79" s="2">
        <v>0.2902777777777778</v>
      </c>
      <c r="D79" s="2">
        <v>0.80208333333333337</v>
      </c>
      <c r="E79" s="5">
        <f t="shared" si="6"/>
        <v>0.51180555555555562</v>
      </c>
      <c r="F79" s="6">
        <f t="shared" si="7"/>
        <v>2.0499999999999998</v>
      </c>
    </row>
    <row r="80" spans="1:6" x14ac:dyDescent="0.3">
      <c r="A80" s="4">
        <v>46029</v>
      </c>
      <c r="B80" s="1" t="s">
        <v>26</v>
      </c>
      <c r="C80" s="2">
        <v>0.29375000000000001</v>
      </c>
      <c r="D80" s="2">
        <v>0.61944444444444446</v>
      </c>
      <c r="E80" s="5">
        <f t="shared" si="6"/>
        <v>0.32569444444444445</v>
      </c>
      <c r="F80" s="6">
        <f t="shared" si="7"/>
        <v>1.3</v>
      </c>
    </row>
    <row r="81" spans="1:6" x14ac:dyDescent="0.3">
      <c r="A81" s="4">
        <v>46029</v>
      </c>
      <c r="B81" s="1" t="s">
        <v>35</v>
      </c>
      <c r="C81" s="2">
        <v>46029.297222222223</v>
      </c>
      <c r="D81" s="2">
        <v>46030.022222222222</v>
      </c>
      <c r="E81" s="5">
        <f t="shared" si="6"/>
        <v>0.72499999999854481</v>
      </c>
      <c r="F81" s="6">
        <f t="shared" si="7"/>
        <v>2.9</v>
      </c>
    </row>
    <row r="82" spans="1:6" x14ac:dyDescent="0.3">
      <c r="A82" s="4">
        <v>46029</v>
      </c>
      <c r="B82" s="1" t="s">
        <v>38</v>
      </c>
      <c r="C82" s="2">
        <v>0.29930555555555555</v>
      </c>
      <c r="D82" s="2">
        <v>0.7944444444444444</v>
      </c>
      <c r="E82" s="5">
        <f t="shared" si="6"/>
        <v>0.49513888888888885</v>
      </c>
      <c r="F82" s="6">
        <f t="shared" si="7"/>
        <v>1.98</v>
      </c>
    </row>
    <row r="83" spans="1:6" x14ac:dyDescent="0.3">
      <c r="A83" s="4">
        <v>46029</v>
      </c>
      <c r="B83" s="1" t="s">
        <v>29</v>
      </c>
      <c r="C83" s="2">
        <v>0.30833333333333335</v>
      </c>
      <c r="D83" s="2">
        <v>0.99583333333333335</v>
      </c>
      <c r="E83" s="5">
        <f t="shared" si="6"/>
        <v>0.6875</v>
      </c>
      <c r="F83" s="6">
        <f t="shared" si="7"/>
        <v>2.75</v>
      </c>
    </row>
    <row r="84" spans="1:6" x14ac:dyDescent="0.3">
      <c r="A84" s="4">
        <v>46029</v>
      </c>
      <c r="B84" s="1" t="s">
        <v>51</v>
      </c>
      <c r="C84" s="2">
        <v>0.3125</v>
      </c>
      <c r="D84" s="2">
        <v>0.78819444444444442</v>
      </c>
      <c r="E84" s="5">
        <f t="shared" si="6"/>
        <v>0.47569444444444442</v>
      </c>
      <c r="F84" s="6">
        <f t="shared" si="7"/>
        <v>1.9</v>
      </c>
    </row>
    <row r="85" spans="1:6" x14ac:dyDescent="0.3">
      <c r="A85" s="4">
        <v>46029</v>
      </c>
      <c r="B85" s="1" t="s">
        <v>27</v>
      </c>
      <c r="C85" s="2">
        <v>0.31805555555555554</v>
      </c>
      <c r="D85" s="2">
        <v>0.83125000000000004</v>
      </c>
      <c r="E85" s="5">
        <f t="shared" si="6"/>
        <v>0.51319444444444451</v>
      </c>
      <c r="F85" s="6">
        <f t="shared" si="7"/>
        <v>2.0499999999999998</v>
      </c>
    </row>
    <row r="86" spans="1:6" x14ac:dyDescent="0.3">
      <c r="A86" s="4">
        <v>46029</v>
      </c>
      <c r="B86" s="1" t="s">
        <v>63</v>
      </c>
      <c r="C86" s="2">
        <v>0.3263888888888889</v>
      </c>
      <c r="D86" s="2">
        <v>0.45277777777777778</v>
      </c>
      <c r="E86" s="5">
        <f t="shared" si="6"/>
        <v>0.12638888888888888</v>
      </c>
      <c r="F86" s="6">
        <f t="shared" si="7"/>
        <v>0.51</v>
      </c>
    </row>
    <row r="87" spans="1:6" x14ac:dyDescent="0.3">
      <c r="A87" s="4">
        <v>46029</v>
      </c>
      <c r="B87" s="1" t="s">
        <v>39</v>
      </c>
      <c r="C87" s="2">
        <v>0.32916666666666666</v>
      </c>
      <c r="D87" s="2">
        <v>0.77986111111111112</v>
      </c>
      <c r="E87" s="5">
        <f t="shared" si="6"/>
        <v>0.45069444444444445</v>
      </c>
      <c r="F87" s="6">
        <f t="shared" si="7"/>
        <v>1.8</v>
      </c>
    </row>
    <row r="88" spans="1:6" x14ac:dyDescent="0.3">
      <c r="A88" s="4">
        <v>46029</v>
      </c>
      <c r="B88" s="1" t="s">
        <v>8</v>
      </c>
      <c r="C88" s="2">
        <v>0.33194444444444443</v>
      </c>
      <c r="D88" s="2">
        <v>0.63611111111111107</v>
      </c>
      <c r="E88" s="5">
        <f t="shared" si="6"/>
        <v>0.30416666666666664</v>
      </c>
      <c r="F88" s="6">
        <f t="shared" si="7"/>
        <v>1.22</v>
      </c>
    </row>
    <row r="89" spans="1:6" x14ac:dyDescent="0.3">
      <c r="A89" s="4">
        <v>46029</v>
      </c>
      <c r="B89" s="1" t="s">
        <v>44</v>
      </c>
      <c r="C89" s="2">
        <v>46029.795138888891</v>
      </c>
      <c r="D89" s="2">
        <v>46030.378472222219</v>
      </c>
      <c r="E89" s="5">
        <f t="shared" si="6"/>
        <v>0.58333333332848269</v>
      </c>
      <c r="F89" s="6">
        <f t="shared" si="7"/>
        <v>2.33</v>
      </c>
    </row>
    <row r="90" spans="1:6" x14ac:dyDescent="0.3">
      <c r="A90" s="4">
        <v>46029</v>
      </c>
      <c r="B90" s="1" t="s">
        <v>5</v>
      </c>
      <c r="C90" s="2">
        <v>46029.801388888889</v>
      </c>
      <c r="D90" s="2">
        <v>46030.307638888888</v>
      </c>
      <c r="E90" s="5">
        <f t="shared" si="6"/>
        <v>0.50624999999854481</v>
      </c>
      <c r="F90" s="6">
        <f t="shared" si="7"/>
        <v>2.02</v>
      </c>
    </row>
    <row r="91" spans="1:6" x14ac:dyDescent="0.3">
      <c r="A91" s="4">
        <v>46029</v>
      </c>
      <c r="B91" s="1" t="s">
        <v>28</v>
      </c>
      <c r="C91" s="2">
        <v>0.28819444444444442</v>
      </c>
      <c r="D91" s="2">
        <v>0.80972222222222223</v>
      </c>
      <c r="E91" s="5">
        <f t="shared" si="6"/>
        <v>0.52152777777777781</v>
      </c>
      <c r="F91" s="6">
        <f t="shared" si="7"/>
        <v>2.09</v>
      </c>
    </row>
    <row r="92" spans="1:6" x14ac:dyDescent="0.3">
      <c r="A92" s="4">
        <v>46030</v>
      </c>
      <c r="B92" s="1" t="s">
        <v>45</v>
      </c>
      <c r="C92" s="2">
        <v>0.24166666666666667</v>
      </c>
      <c r="D92" s="2">
        <v>0.61597222222222225</v>
      </c>
      <c r="E92" s="5">
        <f t="shared" si="6"/>
        <v>0.37430555555555556</v>
      </c>
      <c r="F92" s="6">
        <f t="shared" si="7"/>
        <v>1.5</v>
      </c>
    </row>
    <row r="93" spans="1:6" x14ac:dyDescent="0.3">
      <c r="A93" s="4">
        <v>46030</v>
      </c>
      <c r="B93" s="1" t="s">
        <v>50</v>
      </c>
      <c r="C93" s="2">
        <v>0.24305555555555555</v>
      </c>
      <c r="D93" s="2">
        <v>0.79305555555555551</v>
      </c>
      <c r="E93" s="5">
        <f t="shared" si="6"/>
        <v>0.54999999999999993</v>
      </c>
      <c r="F93" s="6">
        <f t="shared" si="7"/>
        <v>2.2000000000000002</v>
      </c>
    </row>
    <row r="94" spans="1:6" x14ac:dyDescent="0.3">
      <c r="A94" s="4">
        <v>46030</v>
      </c>
      <c r="B94" s="1" t="s">
        <v>8</v>
      </c>
      <c r="C94" s="2">
        <v>0.24583333333333332</v>
      </c>
      <c r="D94" s="2">
        <v>0.85833333333333328</v>
      </c>
      <c r="E94" s="5">
        <f t="shared" si="6"/>
        <v>0.61249999999999993</v>
      </c>
      <c r="F94" s="6">
        <f t="shared" si="7"/>
        <v>2.4500000000000002</v>
      </c>
    </row>
    <row r="95" spans="1:6" x14ac:dyDescent="0.3">
      <c r="A95" s="4">
        <v>46030</v>
      </c>
      <c r="B95" s="1" t="s">
        <v>33</v>
      </c>
      <c r="C95" s="2">
        <v>0.24930555555555556</v>
      </c>
      <c r="D95" s="2">
        <v>0.66249999999999998</v>
      </c>
      <c r="E95" s="5">
        <f t="shared" si="6"/>
        <v>0.41319444444444442</v>
      </c>
      <c r="F95" s="6">
        <f t="shared" si="7"/>
        <v>1.65</v>
      </c>
    </row>
    <row r="96" spans="1:6" x14ac:dyDescent="0.3">
      <c r="A96" s="4">
        <v>46030</v>
      </c>
      <c r="B96" s="1" t="s">
        <v>36</v>
      </c>
      <c r="C96" s="2">
        <v>0.28541666666666665</v>
      </c>
      <c r="D96" s="2">
        <v>0.81458333333333333</v>
      </c>
      <c r="E96" s="5">
        <f t="shared" si="6"/>
        <v>0.52916666666666667</v>
      </c>
      <c r="F96" s="6">
        <f t="shared" si="7"/>
        <v>2.12</v>
      </c>
    </row>
    <row r="97" spans="1:12" x14ac:dyDescent="0.3">
      <c r="A97" s="4">
        <v>46030</v>
      </c>
      <c r="B97" s="1" t="s">
        <v>43</v>
      </c>
      <c r="C97" s="2">
        <v>0.29166666666666669</v>
      </c>
      <c r="D97" s="2">
        <v>0.79583333333333328</v>
      </c>
      <c r="E97" s="5">
        <f t="shared" si="6"/>
        <v>0.50416666666666665</v>
      </c>
      <c r="F97" s="6">
        <f t="shared" si="7"/>
        <v>2.02</v>
      </c>
    </row>
    <row r="98" spans="1:12" x14ac:dyDescent="0.3">
      <c r="A98" s="4">
        <v>46030</v>
      </c>
      <c r="B98" s="1" t="s">
        <v>39</v>
      </c>
      <c r="C98" s="2">
        <v>0.29166666666666669</v>
      </c>
      <c r="D98" s="2">
        <v>0.81736111111111109</v>
      </c>
      <c r="E98" s="5">
        <f t="shared" si="6"/>
        <v>0.52569444444444446</v>
      </c>
      <c r="F98" s="6">
        <f t="shared" si="7"/>
        <v>2.1</v>
      </c>
    </row>
    <row r="99" spans="1:12" x14ac:dyDescent="0.3">
      <c r="A99" s="4">
        <v>46030</v>
      </c>
      <c r="B99" s="1" t="s">
        <v>26</v>
      </c>
      <c r="C99" s="2">
        <v>0.29583333333333334</v>
      </c>
      <c r="D99" s="2">
        <v>0.74861111111111112</v>
      </c>
      <c r="E99" s="5">
        <f t="shared" si="6"/>
        <v>0.45277777777777778</v>
      </c>
      <c r="F99" s="6">
        <f t="shared" si="7"/>
        <v>1.81</v>
      </c>
    </row>
    <row r="100" spans="1:12" x14ac:dyDescent="0.3">
      <c r="A100" s="4">
        <v>46030</v>
      </c>
      <c r="B100" s="1" t="s">
        <v>34</v>
      </c>
      <c r="C100" s="2">
        <v>0.29583333333333334</v>
      </c>
      <c r="D100" s="2">
        <v>0.81111111111111112</v>
      </c>
      <c r="E100" s="5">
        <f t="shared" si="6"/>
        <v>0.51527777777777772</v>
      </c>
      <c r="F100" s="6">
        <f t="shared" si="7"/>
        <v>2.06</v>
      </c>
    </row>
    <row r="101" spans="1:12" x14ac:dyDescent="0.3">
      <c r="A101" s="4">
        <v>46030</v>
      </c>
      <c r="B101" s="1" t="s">
        <v>28</v>
      </c>
      <c r="C101" s="2">
        <v>0.3</v>
      </c>
      <c r="D101" s="2">
        <v>0.75138888888888888</v>
      </c>
      <c r="E101" s="5">
        <f t="shared" si="6"/>
        <v>0.4513888888888889</v>
      </c>
      <c r="F101" s="6">
        <f t="shared" si="7"/>
        <v>1.81</v>
      </c>
    </row>
    <row r="102" spans="1:12" x14ac:dyDescent="0.3">
      <c r="A102" s="4">
        <v>46030</v>
      </c>
      <c r="B102" s="1" t="s">
        <v>4</v>
      </c>
      <c r="C102" s="2">
        <v>0.31319444444444444</v>
      </c>
      <c r="D102" s="2">
        <v>0.88263888888888886</v>
      </c>
      <c r="E102" s="5">
        <f t="shared" si="6"/>
        <v>0.56944444444444442</v>
      </c>
      <c r="F102" s="6">
        <f t="shared" si="7"/>
        <v>2.2799999999999998</v>
      </c>
    </row>
    <row r="103" spans="1:12" x14ac:dyDescent="0.3">
      <c r="A103" s="4">
        <v>46030</v>
      </c>
      <c r="B103" s="1" t="s">
        <v>29</v>
      </c>
      <c r="C103" s="2">
        <v>0.31458333333333333</v>
      </c>
      <c r="D103" s="2">
        <v>0.81666666666666665</v>
      </c>
      <c r="E103" s="5">
        <f t="shared" si="6"/>
        <v>0.50208333333333333</v>
      </c>
      <c r="F103" s="6">
        <f t="shared" si="7"/>
        <v>2.0099999999999998</v>
      </c>
    </row>
    <row r="104" spans="1:12" x14ac:dyDescent="0.3">
      <c r="A104" s="4">
        <v>46030</v>
      </c>
      <c r="B104" s="1" t="s">
        <v>7</v>
      </c>
      <c r="C104" s="2">
        <v>46030.326388888891</v>
      </c>
      <c r="D104" s="2">
        <v>46031.085416666669</v>
      </c>
      <c r="E104" s="5">
        <f t="shared" si="6"/>
        <v>0.75902777777810115</v>
      </c>
      <c r="F104" s="6">
        <f t="shared" si="7"/>
        <v>3.04</v>
      </c>
    </row>
    <row r="105" spans="1:12" x14ac:dyDescent="0.3">
      <c r="A105" s="4">
        <v>46030</v>
      </c>
      <c r="B105" s="1" t="s">
        <v>24</v>
      </c>
      <c r="C105" s="2">
        <v>0.32708333333333334</v>
      </c>
      <c r="D105" s="2">
        <v>0.45833333333333331</v>
      </c>
      <c r="E105" s="5">
        <f t="shared" si="6"/>
        <v>0.13124999999999998</v>
      </c>
      <c r="F105" s="6">
        <f t="shared" si="7"/>
        <v>0.53</v>
      </c>
      <c r="L105" s="38"/>
    </row>
    <row r="106" spans="1:12" x14ac:dyDescent="0.3">
      <c r="A106" s="4">
        <v>46030</v>
      </c>
      <c r="B106" s="1" t="s">
        <v>25</v>
      </c>
      <c r="C106" s="2">
        <v>0.33333333333333331</v>
      </c>
      <c r="D106" s="2">
        <v>0.86805555555555558</v>
      </c>
      <c r="E106" s="5">
        <f t="shared" si="6"/>
        <v>0.53472222222222232</v>
      </c>
      <c r="F106" s="6">
        <f t="shared" si="7"/>
        <v>2.14</v>
      </c>
    </row>
    <row r="107" spans="1:12" x14ac:dyDescent="0.3">
      <c r="A107" s="4">
        <v>46030</v>
      </c>
      <c r="B107" s="1" t="s">
        <v>51</v>
      </c>
      <c r="C107" s="2">
        <v>0.35555555555555557</v>
      </c>
      <c r="D107" s="2">
        <v>0.80486111111111114</v>
      </c>
      <c r="E107" s="5">
        <f t="shared" si="6"/>
        <v>0.44930555555555557</v>
      </c>
      <c r="F107" s="6">
        <f t="shared" si="7"/>
        <v>1.8</v>
      </c>
    </row>
    <row r="108" spans="1:12" x14ac:dyDescent="0.3">
      <c r="A108" s="4">
        <v>46030</v>
      </c>
      <c r="B108" s="1" t="s">
        <v>24</v>
      </c>
      <c r="C108" s="2">
        <v>0.54166666666666663</v>
      </c>
      <c r="D108" s="2">
        <v>0.95833333333333337</v>
      </c>
      <c r="E108" s="5">
        <f t="shared" si="6"/>
        <v>0.41666666666666674</v>
      </c>
      <c r="F108" s="6">
        <f t="shared" si="7"/>
        <v>1.67</v>
      </c>
    </row>
    <row r="109" spans="1:12" x14ac:dyDescent="0.3">
      <c r="A109" s="4">
        <v>46030</v>
      </c>
      <c r="B109" s="1" t="s">
        <v>38</v>
      </c>
      <c r="C109" s="2">
        <v>46030.785416666666</v>
      </c>
      <c r="D109" s="2">
        <v>46031.297222222223</v>
      </c>
      <c r="E109" s="5">
        <f t="shared" si="6"/>
        <v>0.5118055555576575</v>
      </c>
      <c r="F109" s="6">
        <f t="shared" si="7"/>
        <v>2.0499999999999998</v>
      </c>
    </row>
    <row r="110" spans="1:12" x14ac:dyDescent="0.3">
      <c r="A110" s="4">
        <v>46030</v>
      </c>
      <c r="B110" s="1" t="s">
        <v>47</v>
      </c>
      <c r="C110" s="2">
        <v>46030.788194444445</v>
      </c>
      <c r="D110" s="2">
        <v>46031.29791666667</v>
      </c>
      <c r="E110" s="5">
        <f t="shared" si="6"/>
        <v>0.50972222222480923</v>
      </c>
      <c r="F110" s="6">
        <f t="shared" si="7"/>
        <v>2.04</v>
      </c>
    </row>
    <row r="111" spans="1:12" x14ac:dyDescent="0.3">
      <c r="A111" s="4">
        <v>46031</v>
      </c>
      <c r="B111" s="1" t="s">
        <v>6</v>
      </c>
      <c r="C111" s="2">
        <v>0.2326388888888889</v>
      </c>
      <c r="D111" s="2">
        <v>0.73541666666666672</v>
      </c>
      <c r="E111" s="5">
        <f t="shared" si="6"/>
        <v>0.50277777777777777</v>
      </c>
      <c r="F111" s="6">
        <f t="shared" si="7"/>
        <v>2.0099999999999998</v>
      </c>
    </row>
    <row r="112" spans="1:12" x14ac:dyDescent="0.3">
      <c r="A112" s="4">
        <v>46031</v>
      </c>
      <c r="B112" s="1" t="s">
        <v>29</v>
      </c>
      <c r="C112" s="2">
        <v>0.23680555555555555</v>
      </c>
      <c r="D112" s="2">
        <v>0.75972222222222219</v>
      </c>
      <c r="E112" s="5">
        <f t="shared" si="6"/>
        <v>0.5229166666666667</v>
      </c>
      <c r="F112" s="6">
        <f t="shared" si="7"/>
        <v>2.09</v>
      </c>
    </row>
    <row r="113" spans="1:6" x14ac:dyDescent="0.3">
      <c r="A113" s="4">
        <v>46031</v>
      </c>
      <c r="B113" s="1" t="s">
        <v>45</v>
      </c>
      <c r="C113" s="2">
        <v>0.24583333333333332</v>
      </c>
      <c r="D113" s="2">
        <v>0.77638888888888891</v>
      </c>
      <c r="E113" s="5">
        <f t="shared" si="6"/>
        <v>0.53055555555555556</v>
      </c>
      <c r="F113" s="6">
        <f t="shared" si="7"/>
        <v>2.12</v>
      </c>
    </row>
    <row r="114" spans="1:6" x14ac:dyDescent="0.3">
      <c r="A114" s="4">
        <v>46031</v>
      </c>
      <c r="B114" s="1" t="s">
        <v>32</v>
      </c>
      <c r="C114" s="2">
        <v>0.26041666666666669</v>
      </c>
      <c r="D114" s="2">
        <v>0.75</v>
      </c>
      <c r="E114" s="5">
        <f t="shared" si="6"/>
        <v>0.48958333333333331</v>
      </c>
      <c r="F114" s="6">
        <f t="shared" si="7"/>
        <v>1.96</v>
      </c>
    </row>
    <row r="115" spans="1:6" x14ac:dyDescent="0.3">
      <c r="A115" s="4">
        <v>46031</v>
      </c>
      <c r="B115" s="1" t="s">
        <v>37</v>
      </c>
      <c r="C115" s="2">
        <v>0.26041666666666669</v>
      </c>
      <c r="D115" s="2">
        <v>0.73263888888888884</v>
      </c>
      <c r="E115" s="5">
        <f t="shared" si="6"/>
        <v>0.47222222222222215</v>
      </c>
      <c r="F115" s="6">
        <f t="shared" si="7"/>
        <v>1.89</v>
      </c>
    </row>
    <row r="116" spans="1:6" x14ac:dyDescent="0.3">
      <c r="A116" s="4">
        <v>46031</v>
      </c>
      <c r="B116" s="1" t="s">
        <v>31</v>
      </c>
      <c r="C116" s="2">
        <v>0.27847222222222223</v>
      </c>
      <c r="D116" s="2">
        <v>0.91249999999999998</v>
      </c>
      <c r="E116" s="5">
        <f t="shared" si="6"/>
        <v>0.63402777777777775</v>
      </c>
      <c r="F116" s="6">
        <f t="shared" si="7"/>
        <v>2.54</v>
      </c>
    </row>
    <row r="117" spans="1:6" x14ac:dyDescent="0.3">
      <c r="A117" s="4">
        <v>46031</v>
      </c>
      <c r="B117" s="1" t="s">
        <v>5</v>
      </c>
      <c r="C117" s="2">
        <v>0.28125</v>
      </c>
      <c r="D117" s="2">
        <v>0.84236111111111112</v>
      </c>
      <c r="E117" s="5">
        <f t="shared" si="6"/>
        <v>0.56111111111111112</v>
      </c>
      <c r="F117" s="6">
        <f t="shared" si="7"/>
        <v>2.2400000000000002</v>
      </c>
    </row>
    <row r="118" spans="1:6" x14ac:dyDescent="0.3">
      <c r="A118" s="4">
        <v>46031</v>
      </c>
      <c r="B118" s="1" t="s">
        <v>4</v>
      </c>
      <c r="C118" s="2">
        <v>0.2902777777777778</v>
      </c>
      <c r="D118" s="2">
        <v>0.81388888888888888</v>
      </c>
      <c r="E118" s="5">
        <f t="shared" si="6"/>
        <v>0.52361111111111103</v>
      </c>
      <c r="F118" s="6">
        <f t="shared" si="7"/>
        <v>2.09</v>
      </c>
    </row>
    <row r="119" spans="1:6" x14ac:dyDescent="0.3">
      <c r="A119" s="4">
        <v>46031</v>
      </c>
      <c r="B119" s="1" t="s">
        <v>28</v>
      </c>
      <c r="C119" s="2">
        <v>0.29444444444444445</v>
      </c>
      <c r="D119" s="2">
        <v>0.58333333333333337</v>
      </c>
      <c r="E119" s="5">
        <f t="shared" si="6"/>
        <v>0.28888888888888892</v>
      </c>
      <c r="F119" s="6">
        <f t="shared" si="7"/>
        <v>1.1599999999999999</v>
      </c>
    </row>
    <row r="120" spans="1:6" x14ac:dyDescent="0.3">
      <c r="A120" s="4">
        <v>46031</v>
      </c>
      <c r="B120" s="1" t="s">
        <v>34</v>
      </c>
      <c r="C120" s="2">
        <v>0.29583333333333334</v>
      </c>
      <c r="D120" s="2">
        <v>0.5131944444444444</v>
      </c>
      <c r="E120" s="5">
        <f t="shared" si="6"/>
        <v>0.21736111111111106</v>
      </c>
      <c r="F120" s="6">
        <f t="shared" si="7"/>
        <v>0.87</v>
      </c>
    </row>
    <row r="121" spans="1:6" x14ac:dyDescent="0.3">
      <c r="A121" s="4">
        <v>46031</v>
      </c>
      <c r="B121" s="1" t="s">
        <v>43</v>
      </c>
      <c r="C121" s="2">
        <v>46031.309027777781</v>
      </c>
      <c r="D121" s="2">
        <v>46032.032638888886</v>
      </c>
      <c r="E121" s="5">
        <f t="shared" si="6"/>
        <v>0.72361111110512866</v>
      </c>
      <c r="F121" s="6">
        <f t="shared" si="7"/>
        <v>2.89</v>
      </c>
    </row>
    <row r="122" spans="1:6" x14ac:dyDescent="0.3">
      <c r="A122" s="4">
        <v>46031</v>
      </c>
      <c r="B122" s="1" t="s">
        <v>27</v>
      </c>
      <c r="C122" s="2">
        <v>0.3125</v>
      </c>
      <c r="D122" s="2">
        <v>0.82430555555555551</v>
      </c>
      <c r="E122" s="5">
        <f t="shared" si="6"/>
        <v>0.51180555555555551</v>
      </c>
      <c r="F122" s="6">
        <f t="shared" si="7"/>
        <v>2.0499999999999998</v>
      </c>
    </row>
    <row r="123" spans="1:6" x14ac:dyDescent="0.3">
      <c r="A123" s="4">
        <v>46031</v>
      </c>
      <c r="B123" s="1" t="s">
        <v>39</v>
      </c>
      <c r="C123" s="2">
        <v>0.31597222222222221</v>
      </c>
      <c r="D123" s="2">
        <v>0.76597222222222228</v>
      </c>
      <c r="E123" s="5">
        <f t="shared" si="6"/>
        <v>0.45000000000000007</v>
      </c>
      <c r="F123" s="6">
        <f t="shared" si="7"/>
        <v>1.8</v>
      </c>
    </row>
    <row r="124" spans="1:6" x14ac:dyDescent="0.3">
      <c r="A124" s="4">
        <v>46031</v>
      </c>
      <c r="B124" s="1" t="s">
        <v>50</v>
      </c>
      <c r="C124" s="2">
        <v>0.32777777777777778</v>
      </c>
      <c r="D124" s="2">
        <v>0.8354166666666667</v>
      </c>
      <c r="E124" s="5">
        <f t="shared" si="6"/>
        <v>0.50763888888888897</v>
      </c>
      <c r="F124" s="6">
        <f t="shared" si="7"/>
        <v>2.0299999999999998</v>
      </c>
    </row>
    <row r="125" spans="1:6" x14ac:dyDescent="0.3">
      <c r="A125" s="4">
        <v>46031</v>
      </c>
      <c r="B125" s="1" t="s">
        <v>35</v>
      </c>
      <c r="C125" s="2">
        <v>0.34166666666666667</v>
      </c>
      <c r="D125" s="2">
        <v>0.79861111111111116</v>
      </c>
      <c r="E125" s="5">
        <f t="shared" si="6"/>
        <v>0.45694444444444449</v>
      </c>
      <c r="F125" s="6">
        <f t="shared" si="7"/>
        <v>1.83</v>
      </c>
    </row>
    <row r="126" spans="1:6" x14ac:dyDescent="0.3">
      <c r="A126" s="4">
        <v>46031</v>
      </c>
      <c r="B126" s="1" t="s">
        <v>23</v>
      </c>
      <c r="C126" s="2">
        <v>0.36249999999999999</v>
      </c>
      <c r="D126" s="2">
        <v>0.80138888888888893</v>
      </c>
      <c r="E126" s="5">
        <f t="shared" si="6"/>
        <v>0.43888888888888894</v>
      </c>
      <c r="F126" s="6">
        <f t="shared" si="7"/>
        <v>1.76</v>
      </c>
    </row>
    <row r="127" spans="1:6" x14ac:dyDescent="0.3">
      <c r="A127" s="4">
        <v>46031</v>
      </c>
      <c r="B127" s="1" t="s">
        <v>26</v>
      </c>
      <c r="C127" s="2">
        <v>0.44027777777777777</v>
      </c>
      <c r="D127" s="2">
        <v>0.8256944444444444</v>
      </c>
      <c r="E127" s="5">
        <f t="shared" si="6"/>
        <v>0.38541666666666663</v>
      </c>
      <c r="F127" s="6">
        <f t="shared" si="7"/>
        <v>1.54</v>
      </c>
    </row>
    <row r="128" spans="1:6" x14ac:dyDescent="0.3">
      <c r="A128" s="4">
        <v>46031</v>
      </c>
      <c r="B128" s="1" t="s">
        <v>40</v>
      </c>
      <c r="C128" s="2">
        <v>46031.790972222225</v>
      </c>
      <c r="D128" s="2">
        <v>46032.299305555556</v>
      </c>
      <c r="E128" s="5">
        <f t="shared" si="6"/>
        <v>0.50833333333139308</v>
      </c>
      <c r="F128" s="6">
        <f t="shared" si="7"/>
        <v>2.0299999999999998</v>
      </c>
    </row>
    <row r="129" spans="1:6" x14ac:dyDescent="0.3">
      <c r="A129" s="4">
        <v>46031</v>
      </c>
      <c r="B129" s="1" t="s">
        <v>7</v>
      </c>
      <c r="C129" s="2">
        <v>46031.802083333336</v>
      </c>
      <c r="D129" s="2">
        <v>46032.298611111109</v>
      </c>
      <c r="E129" s="5">
        <f t="shared" si="6"/>
        <v>0.49652777777373558</v>
      </c>
      <c r="F129" s="6">
        <f t="shared" si="7"/>
        <v>1.99</v>
      </c>
    </row>
    <row r="130" spans="1:6" x14ac:dyDescent="0.3">
      <c r="A130" s="4">
        <v>46032</v>
      </c>
      <c r="B130" s="1" t="s">
        <v>4</v>
      </c>
      <c r="C130" s="2">
        <v>0.23541666666666666</v>
      </c>
      <c r="D130" s="2">
        <v>0.58263888888888893</v>
      </c>
      <c r="E130" s="5">
        <f t="shared" si="6"/>
        <v>0.34722222222222227</v>
      </c>
      <c r="F130" s="6">
        <f t="shared" si="7"/>
        <v>1.39</v>
      </c>
    </row>
    <row r="131" spans="1:6" x14ac:dyDescent="0.3">
      <c r="A131" s="4">
        <v>46032</v>
      </c>
      <c r="B131" s="1" t="s">
        <v>31</v>
      </c>
      <c r="C131" s="2">
        <v>0.23749999999999999</v>
      </c>
      <c r="D131" s="2">
        <v>0.46458333333333335</v>
      </c>
      <c r="E131" s="5">
        <f t="shared" ref="E131:E194" si="8">D131-C131</f>
        <v>0.22708333333333336</v>
      </c>
      <c r="F131" s="6">
        <f t="shared" ref="F131:F194" si="9">ROUND(VALUE(E131)*4,2)</f>
        <v>0.91</v>
      </c>
    </row>
    <row r="132" spans="1:6" x14ac:dyDescent="0.3">
      <c r="A132" s="4">
        <v>46032</v>
      </c>
      <c r="B132" s="1" t="s">
        <v>38</v>
      </c>
      <c r="C132" s="2">
        <v>0.25972222222222224</v>
      </c>
      <c r="D132" s="2">
        <v>0.39305555555555555</v>
      </c>
      <c r="E132" s="5">
        <f t="shared" si="8"/>
        <v>0.1333333333333333</v>
      </c>
      <c r="F132" s="6">
        <f t="shared" si="9"/>
        <v>0.53</v>
      </c>
    </row>
    <row r="133" spans="1:6" x14ac:dyDescent="0.3">
      <c r="A133" s="4">
        <v>46032</v>
      </c>
      <c r="B133" s="1" t="s">
        <v>5</v>
      </c>
      <c r="C133" s="2">
        <v>0.2902777777777778</v>
      </c>
      <c r="D133" s="2">
        <v>0.86388888888888893</v>
      </c>
      <c r="E133" s="5">
        <f t="shared" si="8"/>
        <v>0.57361111111111107</v>
      </c>
      <c r="F133" s="6">
        <f t="shared" si="9"/>
        <v>2.29</v>
      </c>
    </row>
    <row r="134" spans="1:6" x14ac:dyDescent="0.3">
      <c r="A134" s="4">
        <v>46032</v>
      </c>
      <c r="B134" s="1" t="s">
        <v>8</v>
      </c>
      <c r="C134" s="2">
        <v>0.29583333333333334</v>
      </c>
      <c r="D134" s="2">
        <v>0.79513888888888884</v>
      </c>
      <c r="E134" s="5">
        <f t="shared" si="8"/>
        <v>0.4993055555555555</v>
      </c>
      <c r="F134" s="6">
        <f t="shared" si="9"/>
        <v>2</v>
      </c>
    </row>
    <row r="135" spans="1:6" x14ac:dyDescent="0.3">
      <c r="A135" s="4">
        <v>46032</v>
      </c>
      <c r="B135" s="1" t="s">
        <v>34</v>
      </c>
      <c r="C135" s="2">
        <v>0.3</v>
      </c>
      <c r="D135" s="2">
        <v>0.59513888888888888</v>
      </c>
      <c r="E135" s="5">
        <f t="shared" si="8"/>
        <v>0.2951388888888889</v>
      </c>
      <c r="F135" s="6">
        <f t="shared" si="9"/>
        <v>1.18</v>
      </c>
    </row>
    <row r="136" spans="1:6" x14ac:dyDescent="0.3">
      <c r="A136" s="4">
        <v>46032</v>
      </c>
      <c r="B136" s="1" t="s">
        <v>50</v>
      </c>
      <c r="C136" s="2">
        <v>0.31666666666666665</v>
      </c>
      <c r="D136" s="2">
        <v>0.61805555555555558</v>
      </c>
      <c r="E136" s="5">
        <f t="shared" si="8"/>
        <v>0.30138888888888893</v>
      </c>
      <c r="F136" s="6">
        <f t="shared" si="9"/>
        <v>1.21</v>
      </c>
    </row>
    <row r="137" spans="1:6" x14ac:dyDescent="0.3">
      <c r="A137" s="4">
        <v>46032</v>
      </c>
      <c r="B137" s="1" t="s">
        <v>47</v>
      </c>
      <c r="C137" s="2">
        <v>0.32777777777777778</v>
      </c>
      <c r="D137" s="2">
        <v>0.91319444444444442</v>
      </c>
      <c r="E137" s="5">
        <f t="shared" si="8"/>
        <v>0.5854166666666667</v>
      </c>
      <c r="F137" s="6">
        <f t="shared" si="9"/>
        <v>2.34</v>
      </c>
    </row>
    <row r="138" spans="1:6" x14ac:dyDescent="0.3">
      <c r="A138" s="4">
        <v>46032</v>
      </c>
      <c r="B138" s="1" t="s">
        <v>33</v>
      </c>
      <c r="C138" s="2">
        <v>0.3125</v>
      </c>
      <c r="D138" s="2">
        <v>0.55069444444444449</v>
      </c>
      <c r="E138" s="5">
        <f t="shared" si="8"/>
        <v>0.23819444444444449</v>
      </c>
      <c r="F138" s="6">
        <f t="shared" si="9"/>
        <v>0.95</v>
      </c>
    </row>
    <row r="139" spans="1:6" x14ac:dyDescent="0.3">
      <c r="A139" s="4">
        <v>46032</v>
      </c>
      <c r="B139" s="1" t="s">
        <v>45</v>
      </c>
      <c r="C139" s="2">
        <v>0.3263888888888889</v>
      </c>
      <c r="D139" s="2">
        <v>0.40763888888888888</v>
      </c>
      <c r="E139" s="5">
        <f t="shared" si="8"/>
        <v>8.1249999999999989E-2</v>
      </c>
      <c r="F139" s="6">
        <f t="shared" si="9"/>
        <v>0.33</v>
      </c>
    </row>
    <row r="140" spans="1:6" x14ac:dyDescent="0.3">
      <c r="A140" s="4">
        <v>46032</v>
      </c>
      <c r="B140" s="1" t="s">
        <v>63</v>
      </c>
      <c r="C140" s="2">
        <v>0.35347222222222224</v>
      </c>
      <c r="D140" s="2">
        <v>0.5493055555555556</v>
      </c>
      <c r="E140" s="5">
        <f t="shared" si="8"/>
        <v>0.19583333333333336</v>
      </c>
      <c r="F140" s="6">
        <f t="shared" si="9"/>
        <v>0.78</v>
      </c>
    </row>
    <row r="141" spans="1:6" x14ac:dyDescent="0.3">
      <c r="A141" s="4">
        <v>46032</v>
      </c>
      <c r="B141" s="1" t="s">
        <v>51</v>
      </c>
      <c r="C141" s="2">
        <v>0.35347222222222224</v>
      </c>
      <c r="D141" s="2">
        <v>0.75972222222222219</v>
      </c>
      <c r="E141" s="5">
        <f t="shared" si="8"/>
        <v>0.40624999999999994</v>
      </c>
      <c r="F141" s="6">
        <f t="shared" si="9"/>
        <v>1.63</v>
      </c>
    </row>
    <row r="142" spans="1:6" x14ac:dyDescent="0.3">
      <c r="A142" s="4">
        <v>46032</v>
      </c>
      <c r="B142" s="1" t="s">
        <v>64</v>
      </c>
      <c r="C142" s="2">
        <v>0.43333333333333335</v>
      </c>
      <c r="D142" s="2">
        <v>0.6118055555555556</v>
      </c>
      <c r="E142" s="5">
        <f t="shared" si="8"/>
        <v>0.17847222222222225</v>
      </c>
      <c r="F142" s="6">
        <f t="shared" si="9"/>
        <v>0.71</v>
      </c>
    </row>
    <row r="143" spans="1:6" x14ac:dyDescent="0.3">
      <c r="A143" s="4">
        <v>46032</v>
      </c>
      <c r="B143" s="1" t="s">
        <v>34</v>
      </c>
      <c r="C143" s="2">
        <v>0.70833333333333337</v>
      </c>
      <c r="D143" s="2">
        <v>0.75</v>
      </c>
      <c r="E143" s="5">
        <f t="shared" si="8"/>
        <v>4.166666666666663E-2</v>
      </c>
      <c r="F143" s="6">
        <f t="shared" si="9"/>
        <v>0.17</v>
      </c>
    </row>
    <row r="144" spans="1:6" x14ac:dyDescent="0.3">
      <c r="A144" s="4">
        <v>46032</v>
      </c>
      <c r="B144" s="1" t="s">
        <v>53</v>
      </c>
      <c r="C144" s="2">
        <v>46032.789583333331</v>
      </c>
      <c r="D144" s="2">
        <v>46033.311111111114</v>
      </c>
      <c r="E144" s="5">
        <f t="shared" si="8"/>
        <v>0.52152777778246673</v>
      </c>
      <c r="F144" s="6">
        <f t="shared" si="9"/>
        <v>2.09</v>
      </c>
    </row>
    <row r="145" spans="1:6" x14ac:dyDescent="0.3">
      <c r="A145" s="4">
        <v>46032</v>
      </c>
      <c r="B145" s="1" t="s">
        <v>27</v>
      </c>
      <c r="C145" s="2">
        <v>46032.9</v>
      </c>
      <c r="D145" s="2">
        <v>46033.306944444441</v>
      </c>
      <c r="E145" s="5">
        <f t="shared" si="8"/>
        <v>0.40694444443943212</v>
      </c>
      <c r="F145" s="6">
        <f t="shared" si="9"/>
        <v>1.63</v>
      </c>
    </row>
    <row r="146" spans="1:6" x14ac:dyDescent="0.3">
      <c r="A146" s="4">
        <v>46033</v>
      </c>
      <c r="B146" s="1" t="s">
        <v>31</v>
      </c>
      <c r="C146" s="2">
        <v>0.28472222222222221</v>
      </c>
      <c r="D146" s="2">
        <v>0.80902777777777779</v>
      </c>
      <c r="E146" s="5">
        <f t="shared" si="8"/>
        <v>0.52430555555555558</v>
      </c>
      <c r="F146" s="6">
        <f t="shared" si="9"/>
        <v>2.1</v>
      </c>
    </row>
    <row r="147" spans="1:6" x14ac:dyDescent="0.3">
      <c r="A147" s="4">
        <v>46033</v>
      </c>
      <c r="B147" s="1" t="s">
        <v>43</v>
      </c>
      <c r="C147" s="2">
        <v>0.28958333333333336</v>
      </c>
      <c r="D147" s="2">
        <v>0.80694444444444446</v>
      </c>
      <c r="E147" s="5">
        <f t="shared" si="8"/>
        <v>0.51736111111111116</v>
      </c>
      <c r="F147" s="6">
        <f t="shared" si="9"/>
        <v>2.0699999999999998</v>
      </c>
    </row>
    <row r="148" spans="1:6" x14ac:dyDescent="0.3">
      <c r="A148" s="4">
        <v>46033</v>
      </c>
      <c r="B148" s="1" t="s">
        <v>4</v>
      </c>
      <c r="C148" s="2">
        <v>0.29652777777777778</v>
      </c>
      <c r="D148" s="2">
        <v>0.49652777777777779</v>
      </c>
      <c r="E148" s="5">
        <f t="shared" si="8"/>
        <v>0.2</v>
      </c>
      <c r="F148" s="6">
        <f t="shared" si="9"/>
        <v>0.8</v>
      </c>
    </row>
    <row r="149" spans="1:6" x14ac:dyDescent="0.3">
      <c r="A149" s="4">
        <v>46033</v>
      </c>
      <c r="B149" s="1" t="s">
        <v>7</v>
      </c>
      <c r="C149" s="2">
        <v>46033.799305555556</v>
      </c>
      <c r="D149" s="2">
        <v>46034.293749999997</v>
      </c>
      <c r="E149" s="5">
        <f t="shared" si="8"/>
        <v>0.49444444444088731</v>
      </c>
      <c r="F149" s="6">
        <f t="shared" si="9"/>
        <v>1.98</v>
      </c>
    </row>
    <row r="150" spans="1:6" x14ac:dyDescent="0.3">
      <c r="A150" s="4">
        <v>46033</v>
      </c>
      <c r="B150" s="1" t="s">
        <v>32</v>
      </c>
      <c r="C150" s="2">
        <v>46033.808333333334</v>
      </c>
      <c r="D150" s="2">
        <v>46034.285416666666</v>
      </c>
      <c r="E150" s="5">
        <f t="shared" si="8"/>
        <v>0.47708333333139308</v>
      </c>
      <c r="F150" s="6">
        <f t="shared" si="9"/>
        <v>1.91</v>
      </c>
    </row>
    <row r="151" spans="1:6" x14ac:dyDescent="0.3">
      <c r="A151" s="4">
        <v>46033</v>
      </c>
      <c r="B151" s="1" t="s">
        <v>31</v>
      </c>
      <c r="C151" s="2">
        <v>46033.96875</v>
      </c>
      <c r="D151" s="2">
        <v>46034.122916666667</v>
      </c>
      <c r="E151" s="5">
        <f t="shared" si="8"/>
        <v>0.15416666666715173</v>
      </c>
      <c r="F151" s="6">
        <f t="shared" si="9"/>
        <v>0.62</v>
      </c>
    </row>
    <row r="152" spans="1:6" x14ac:dyDescent="0.3">
      <c r="A152" s="4">
        <v>46034</v>
      </c>
      <c r="B152" s="1" t="s">
        <v>5</v>
      </c>
      <c r="C152" s="2">
        <v>0.24236111111111111</v>
      </c>
      <c r="D152" s="2">
        <v>0.92500000000000004</v>
      </c>
      <c r="E152" s="5">
        <f t="shared" si="8"/>
        <v>0.68263888888888891</v>
      </c>
      <c r="F152" s="6">
        <f t="shared" si="9"/>
        <v>2.73</v>
      </c>
    </row>
    <row r="153" spans="1:6" x14ac:dyDescent="0.3">
      <c r="A153" s="4">
        <v>46034</v>
      </c>
      <c r="B153" s="1" t="s">
        <v>37</v>
      </c>
      <c r="C153" s="2">
        <v>0.24652777777777779</v>
      </c>
      <c r="D153" s="2">
        <v>0.79722222222222228</v>
      </c>
      <c r="E153" s="5">
        <f t="shared" si="8"/>
        <v>0.55069444444444449</v>
      </c>
      <c r="F153" s="6">
        <f t="shared" si="9"/>
        <v>2.2000000000000002</v>
      </c>
    </row>
    <row r="154" spans="1:6" x14ac:dyDescent="0.3">
      <c r="A154" s="4">
        <v>46034</v>
      </c>
      <c r="B154" s="1" t="s">
        <v>38</v>
      </c>
      <c r="C154" s="2">
        <v>0.24930555555555556</v>
      </c>
      <c r="D154" s="2">
        <v>0.77916666666666667</v>
      </c>
      <c r="E154" s="5">
        <f t="shared" si="8"/>
        <v>0.52986111111111112</v>
      </c>
      <c r="F154" s="6">
        <f t="shared" si="9"/>
        <v>2.12</v>
      </c>
    </row>
    <row r="155" spans="1:6" x14ac:dyDescent="0.3">
      <c r="A155" s="4">
        <v>46034</v>
      </c>
      <c r="B155" s="1" t="s">
        <v>6</v>
      </c>
      <c r="C155" s="2">
        <v>0.28125</v>
      </c>
      <c r="D155" s="2">
        <v>0.77777777777777779</v>
      </c>
      <c r="E155" s="5">
        <f t="shared" si="8"/>
        <v>0.49652777777777779</v>
      </c>
      <c r="F155" s="6">
        <f t="shared" si="9"/>
        <v>1.99</v>
      </c>
    </row>
    <row r="156" spans="1:6" x14ac:dyDescent="0.3">
      <c r="A156" s="4">
        <v>46034</v>
      </c>
      <c r="B156" s="1" t="s">
        <v>8</v>
      </c>
      <c r="C156" s="2">
        <v>0.28125</v>
      </c>
      <c r="D156" s="2">
        <v>0.7895833333333333</v>
      </c>
      <c r="E156" s="5">
        <f t="shared" si="8"/>
        <v>0.5083333333333333</v>
      </c>
      <c r="F156" s="6">
        <f t="shared" si="9"/>
        <v>2.0299999999999998</v>
      </c>
    </row>
    <row r="157" spans="1:6" x14ac:dyDescent="0.3">
      <c r="A157" s="4">
        <v>46034</v>
      </c>
      <c r="B157" s="1" t="s">
        <v>27</v>
      </c>
      <c r="C157" s="2">
        <v>46034.281944444447</v>
      </c>
      <c r="D157" s="2">
        <v>46035.031944444447</v>
      </c>
      <c r="E157" s="5">
        <f t="shared" si="8"/>
        <v>0.75</v>
      </c>
      <c r="F157" s="6">
        <f t="shared" si="9"/>
        <v>3</v>
      </c>
    </row>
    <row r="158" spans="1:6" x14ac:dyDescent="0.3">
      <c r="A158" s="4">
        <v>46034</v>
      </c>
      <c r="B158" s="1" t="s">
        <v>47</v>
      </c>
      <c r="C158" s="2">
        <v>0.28749999999999998</v>
      </c>
      <c r="D158" s="2">
        <v>0.79236111111111107</v>
      </c>
      <c r="E158" s="5">
        <f t="shared" si="8"/>
        <v>0.50486111111111109</v>
      </c>
      <c r="F158" s="6">
        <f t="shared" si="9"/>
        <v>2.02</v>
      </c>
    </row>
    <row r="159" spans="1:6" x14ac:dyDescent="0.3">
      <c r="A159" s="4">
        <v>46034</v>
      </c>
      <c r="B159" s="1" t="s">
        <v>28</v>
      </c>
      <c r="C159" s="2">
        <v>0.29375000000000001</v>
      </c>
      <c r="D159" s="2">
        <v>0.37291666666666667</v>
      </c>
      <c r="E159" s="5">
        <f t="shared" si="8"/>
        <v>7.9166666666666663E-2</v>
      </c>
      <c r="F159" s="6">
        <f t="shared" si="9"/>
        <v>0.32</v>
      </c>
    </row>
    <row r="160" spans="1:6" x14ac:dyDescent="0.3">
      <c r="A160" s="4">
        <v>46034</v>
      </c>
      <c r="B160" s="1" t="s">
        <v>33</v>
      </c>
      <c r="C160" s="2">
        <v>0.30972222222222223</v>
      </c>
      <c r="D160" s="2">
        <v>0.70625000000000004</v>
      </c>
      <c r="E160" s="5">
        <f t="shared" si="8"/>
        <v>0.39652777777777781</v>
      </c>
      <c r="F160" s="6">
        <f t="shared" si="9"/>
        <v>1.59</v>
      </c>
    </row>
    <row r="161" spans="1:6" x14ac:dyDescent="0.3">
      <c r="A161" s="4">
        <v>46034</v>
      </c>
      <c r="B161" s="1" t="s">
        <v>29</v>
      </c>
      <c r="C161" s="2">
        <v>0.30972222222222223</v>
      </c>
      <c r="D161" s="2">
        <v>0.71597222222222223</v>
      </c>
      <c r="E161" s="5">
        <f t="shared" si="8"/>
        <v>0.40625</v>
      </c>
      <c r="F161" s="6">
        <f t="shared" si="9"/>
        <v>1.63</v>
      </c>
    </row>
    <row r="162" spans="1:6" x14ac:dyDescent="0.3">
      <c r="A162" s="4">
        <v>46034</v>
      </c>
      <c r="B162" s="1" t="s">
        <v>39</v>
      </c>
      <c r="C162" s="2">
        <v>0.31180555555555556</v>
      </c>
      <c r="D162" s="2">
        <v>0.79513888888888884</v>
      </c>
      <c r="E162" s="5">
        <f t="shared" si="8"/>
        <v>0.48333333333333328</v>
      </c>
      <c r="F162" s="6">
        <f t="shared" si="9"/>
        <v>1.93</v>
      </c>
    </row>
    <row r="163" spans="1:6" x14ac:dyDescent="0.3">
      <c r="A163" s="4">
        <v>46034</v>
      </c>
      <c r="B163" s="1" t="s">
        <v>45</v>
      </c>
      <c r="C163" s="2">
        <v>0.31736111111111109</v>
      </c>
      <c r="D163" s="2">
        <v>0.82152777777777775</v>
      </c>
      <c r="E163" s="5">
        <f t="shared" si="8"/>
        <v>0.50416666666666665</v>
      </c>
      <c r="F163" s="6">
        <f t="shared" si="9"/>
        <v>2.02</v>
      </c>
    </row>
    <row r="164" spans="1:6" x14ac:dyDescent="0.3">
      <c r="A164" s="4">
        <v>46034</v>
      </c>
      <c r="B164" s="1" t="s">
        <v>26</v>
      </c>
      <c r="C164" s="2">
        <v>0.24305555555555555</v>
      </c>
      <c r="D164" s="2">
        <v>0.79791666666666672</v>
      </c>
      <c r="E164" s="5">
        <f t="shared" si="8"/>
        <v>0.55486111111111114</v>
      </c>
      <c r="F164" s="6">
        <f t="shared" si="9"/>
        <v>2.2200000000000002</v>
      </c>
    </row>
    <row r="165" spans="1:6" x14ac:dyDescent="0.3">
      <c r="A165" s="4">
        <v>46034</v>
      </c>
      <c r="B165" s="1" t="s">
        <v>23</v>
      </c>
      <c r="C165" s="2">
        <v>0.35</v>
      </c>
      <c r="D165" s="2">
        <v>0.79861111111111116</v>
      </c>
      <c r="E165" s="5">
        <f t="shared" si="8"/>
        <v>0.44861111111111118</v>
      </c>
      <c r="F165" s="6">
        <f t="shared" si="9"/>
        <v>1.79</v>
      </c>
    </row>
    <row r="166" spans="1:6" x14ac:dyDescent="0.3">
      <c r="A166" s="4">
        <v>46034</v>
      </c>
      <c r="B166" s="1" t="s">
        <v>31</v>
      </c>
      <c r="C166" s="2">
        <v>0.49861111111111112</v>
      </c>
      <c r="D166" s="2">
        <v>0.80347222222222225</v>
      </c>
      <c r="E166" s="5">
        <f t="shared" si="8"/>
        <v>0.30486111111111114</v>
      </c>
      <c r="F166" s="6">
        <f t="shared" si="9"/>
        <v>1.22</v>
      </c>
    </row>
    <row r="167" spans="1:6" x14ac:dyDescent="0.3">
      <c r="A167" s="4">
        <v>46034</v>
      </c>
      <c r="B167" s="1" t="s">
        <v>64</v>
      </c>
      <c r="C167" s="2">
        <v>0.55625000000000002</v>
      </c>
      <c r="D167" s="2">
        <v>0.80069444444444449</v>
      </c>
      <c r="E167" s="5">
        <f t="shared" si="8"/>
        <v>0.24444444444444446</v>
      </c>
      <c r="F167" s="6">
        <f t="shared" si="9"/>
        <v>0.98</v>
      </c>
    </row>
    <row r="168" spans="1:6" x14ac:dyDescent="0.3">
      <c r="A168" s="4">
        <v>46034</v>
      </c>
      <c r="B168" s="1" t="s">
        <v>40</v>
      </c>
      <c r="C168" s="2">
        <v>0.57499999999999996</v>
      </c>
      <c r="D168" s="2">
        <v>0.7944444444444444</v>
      </c>
      <c r="E168" s="5">
        <f t="shared" si="8"/>
        <v>0.21944444444444444</v>
      </c>
      <c r="F168" s="6">
        <f t="shared" si="9"/>
        <v>0.88</v>
      </c>
    </row>
    <row r="169" spans="1:6" x14ac:dyDescent="0.3">
      <c r="A169" s="4">
        <v>46034</v>
      </c>
      <c r="B169" s="1" t="s">
        <v>24</v>
      </c>
      <c r="C169" s="2">
        <v>0.57916666666666672</v>
      </c>
      <c r="D169" s="2">
        <v>0.69513888888888886</v>
      </c>
      <c r="E169" s="5">
        <f t="shared" si="8"/>
        <v>0.11597222222222214</v>
      </c>
      <c r="F169" s="6">
        <f t="shared" si="9"/>
        <v>0.46</v>
      </c>
    </row>
    <row r="170" spans="1:6" x14ac:dyDescent="0.3">
      <c r="A170" s="4">
        <v>46034</v>
      </c>
      <c r="B170" s="1" t="s">
        <v>43</v>
      </c>
      <c r="C170" s="2">
        <v>46034.784722222219</v>
      </c>
      <c r="D170" s="2">
        <v>46035.30972222222</v>
      </c>
      <c r="E170" s="5">
        <f t="shared" si="8"/>
        <v>0.52500000000145519</v>
      </c>
      <c r="F170" s="6">
        <f t="shared" si="9"/>
        <v>2.1</v>
      </c>
    </row>
    <row r="171" spans="1:6" x14ac:dyDescent="0.3">
      <c r="A171" s="4">
        <v>46034</v>
      </c>
      <c r="B171" s="1" t="s">
        <v>50</v>
      </c>
      <c r="C171" s="2">
        <v>46034.790972222225</v>
      </c>
      <c r="D171" s="2">
        <v>46035.291666666664</v>
      </c>
      <c r="E171" s="5">
        <f t="shared" si="8"/>
        <v>0.50069444443943212</v>
      </c>
      <c r="F171" s="6">
        <f t="shared" si="9"/>
        <v>2</v>
      </c>
    </row>
    <row r="172" spans="1:6" x14ac:dyDescent="0.3">
      <c r="A172" s="4">
        <v>46035</v>
      </c>
      <c r="B172" s="1" t="s">
        <v>47</v>
      </c>
      <c r="C172" s="2">
        <v>0.23819444444444443</v>
      </c>
      <c r="D172" s="2">
        <v>0.74097222222222225</v>
      </c>
      <c r="E172" s="5">
        <f t="shared" si="8"/>
        <v>0.50277777777777777</v>
      </c>
      <c r="F172" s="6">
        <f t="shared" si="9"/>
        <v>2.0099999999999998</v>
      </c>
    </row>
    <row r="173" spans="1:6" x14ac:dyDescent="0.3">
      <c r="A173" s="4">
        <v>46035</v>
      </c>
      <c r="B173" s="1" t="s">
        <v>31</v>
      </c>
      <c r="C173" s="2">
        <v>0.24097222222222223</v>
      </c>
      <c r="D173" s="2">
        <v>0.79513888888888884</v>
      </c>
      <c r="E173" s="5">
        <f t="shared" si="8"/>
        <v>0.55416666666666659</v>
      </c>
      <c r="F173" s="6">
        <f t="shared" si="9"/>
        <v>2.2200000000000002</v>
      </c>
    </row>
    <row r="174" spans="1:6" x14ac:dyDescent="0.3">
      <c r="A174" s="4">
        <v>46035</v>
      </c>
      <c r="B174" s="1" t="s">
        <v>7</v>
      </c>
      <c r="C174" s="2">
        <v>0.25</v>
      </c>
      <c r="D174" s="2">
        <v>0.83611111111111114</v>
      </c>
      <c r="E174" s="5">
        <f t="shared" si="8"/>
        <v>0.58611111111111114</v>
      </c>
      <c r="F174" s="6">
        <f t="shared" si="9"/>
        <v>2.34</v>
      </c>
    </row>
    <row r="175" spans="1:6" x14ac:dyDescent="0.3">
      <c r="A175" s="4">
        <v>46035</v>
      </c>
      <c r="B175" s="1" t="s">
        <v>40</v>
      </c>
      <c r="C175" s="2">
        <v>0.25069444444444444</v>
      </c>
      <c r="D175" s="2">
        <v>0.80625000000000002</v>
      </c>
      <c r="E175" s="5">
        <f t="shared" si="8"/>
        <v>0.55555555555555558</v>
      </c>
      <c r="F175" s="6">
        <f t="shared" si="9"/>
        <v>2.2200000000000002</v>
      </c>
    </row>
    <row r="176" spans="1:6" x14ac:dyDescent="0.3">
      <c r="A176" s="4">
        <v>46035</v>
      </c>
      <c r="B176" s="1" t="s">
        <v>26</v>
      </c>
      <c r="C176" s="2">
        <v>0.28819444444444442</v>
      </c>
      <c r="D176" s="2">
        <v>0.50555555555555554</v>
      </c>
      <c r="E176" s="5">
        <f t="shared" si="8"/>
        <v>0.21736111111111112</v>
      </c>
      <c r="F176" s="6">
        <f t="shared" si="9"/>
        <v>0.87</v>
      </c>
    </row>
    <row r="177" spans="1:6" x14ac:dyDescent="0.3">
      <c r="A177" s="4">
        <v>46035</v>
      </c>
      <c r="B177" s="1" t="s">
        <v>32</v>
      </c>
      <c r="C177" s="2">
        <v>46035.289583333331</v>
      </c>
      <c r="D177" s="2">
        <v>46036.018055555556</v>
      </c>
      <c r="E177" s="5">
        <f t="shared" si="8"/>
        <v>0.72847222222480923</v>
      </c>
      <c r="F177" s="6">
        <f t="shared" si="9"/>
        <v>2.91</v>
      </c>
    </row>
    <row r="178" spans="1:6" x14ac:dyDescent="0.3">
      <c r="A178" s="4">
        <v>46035</v>
      </c>
      <c r="B178" s="1" t="s">
        <v>36</v>
      </c>
      <c r="C178" s="2">
        <v>0.29583333333333334</v>
      </c>
      <c r="D178" s="2">
        <v>0.79513888888888884</v>
      </c>
      <c r="E178" s="5">
        <f t="shared" si="8"/>
        <v>0.4993055555555555</v>
      </c>
      <c r="F178" s="6">
        <f t="shared" si="9"/>
        <v>2</v>
      </c>
    </row>
    <row r="179" spans="1:6" x14ac:dyDescent="0.3">
      <c r="A179" s="4">
        <v>46035</v>
      </c>
      <c r="B179" s="1" t="s">
        <v>33</v>
      </c>
      <c r="C179" s="2">
        <v>0.30555555555555558</v>
      </c>
      <c r="D179" s="2">
        <v>0.85416666666666663</v>
      </c>
      <c r="E179" s="5">
        <f t="shared" si="8"/>
        <v>0.54861111111111105</v>
      </c>
      <c r="F179" s="6">
        <f t="shared" si="9"/>
        <v>2.19</v>
      </c>
    </row>
    <row r="180" spans="1:6" x14ac:dyDescent="0.3">
      <c r="A180" s="4">
        <v>46035</v>
      </c>
      <c r="B180" s="1" t="s">
        <v>35</v>
      </c>
      <c r="C180" s="2">
        <v>0.30625000000000002</v>
      </c>
      <c r="D180" s="2">
        <v>0.81388888888888888</v>
      </c>
      <c r="E180" s="5">
        <f t="shared" si="8"/>
        <v>0.50763888888888886</v>
      </c>
      <c r="F180" s="6">
        <f t="shared" si="9"/>
        <v>2.0299999999999998</v>
      </c>
    </row>
    <row r="181" spans="1:6" x14ac:dyDescent="0.3">
      <c r="A181" s="4">
        <v>46035</v>
      </c>
      <c r="B181" s="1" t="s">
        <v>28</v>
      </c>
      <c r="C181" s="2">
        <v>0.30625000000000002</v>
      </c>
      <c r="D181" s="2">
        <v>0.81041666666666667</v>
      </c>
      <c r="E181" s="5">
        <f t="shared" si="8"/>
        <v>0.50416666666666665</v>
      </c>
      <c r="F181" s="6">
        <f t="shared" si="9"/>
        <v>2.02</v>
      </c>
    </row>
    <row r="182" spans="1:6" x14ac:dyDescent="0.3">
      <c r="A182" s="4">
        <v>46035</v>
      </c>
      <c r="B182" s="1" t="s">
        <v>38</v>
      </c>
      <c r="C182" s="2">
        <v>46035.316666666666</v>
      </c>
      <c r="D182" s="2">
        <v>46036.035416666666</v>
      </c>
      <c r="E182" s="5">
        <f t="shared" si="8"/>
        <v>0.71875</v>
      </c>
      <c r="F182" s="6">
        <f t="shared" si="9"/>
        <v>2.88</v>
      </c>
    </row>
    <row r="183" spans="1:6" x14ac:dyDescent="0.3">
      <c r="A183" s="4">
        <v>46035</v>
      </c>
      <c r="B183" s="1" t="s">
        <v>24</v>
      </c>
      <c r="C183" s="2">
        <v>0.32430555555555557</v>
      </c>
      <c r="D183" s="2">
        <v>0.79166666666666663</v>
      </c>
      <c r="E183" s="5">
        <f t="shared" si="8"/>
        <v>0.46736111111111106</v>
      </c>
      <c r="F183" s="6">
        <f t="shared" si="9"/>
        <v>1.87</v>
      </c>
    </row>
    <row r="184" spans="1:6" x14ac:dyDescent="0.3">
      <c r="A184" s="4">
        <v>46035</v>
      </c>
      <c r="B184" s="1" t="s">
        <v>39</v>
      </c>
      <c r="C184" s="2">
        <v>0.33263888888888887</v>
      </c>
      <c r="D184" s="2">
        <v>0.79583333333333328</v>
      </c>
      <c r="E184" s="5">
        <f t="shared" si="8"/>
        <v>0.46319444444444441</v>
      </c>
      <c r="F184" s="6">
        <f t="shared" si="9"/>
        <v>1.85</v>
      </c>
    </row>
    <row r="185" spans="1:6" x14ac:dyDescent="0.3">
      <c r="A185" s="4">
        <v>46035</v>
      </c>
      <c r="B185" s="1" t="s">
        <v>63</v>
      </c>
      <c r="C185" s="2">
        <v>0.3347222222222222</v>
      </c>
      <c r="D185" s="2">
        <v>0.78125</v>
      </c>
      <c r="E185" s="5">
        <f t="shared" si="8"/>
        <v>0.4465277777777778</v>
      </c>
      <c r="F185" s="6">
        <f t="shared" si="9"/>
        <v>1.79</v>
      </c>
    </row>
    <row r="186" spans="1:6" x14ac:dyDescent="0.3">
      <c r="A186" s="4">
        <v>46035</v>
      </c>
      <c r="B186" s="1" t="s">
        <v>23</v>
      </c>
      <c r="C186" s="2">
        <v>0.33680555555555558</v>
      </c>
      <c r="D186" s="2">
        <v>0.80069444444444449</v>
      </c>
      <c r="E186" s="5">
        <f t="shared" si="8"/>
        <v>0.46388888888888891</v>
      </c>
      <c r="F186" s="6">
        <f t="shared" si="9"/>
        <v>1.86</v>
      </c>
    </row>
    <row r="187" spans="1:6" x14ac:dyDescent="0.3">
      <c r="A187" s="4">
        <v>46035</v>
      </c>
      <c r="B187" s="1" t="s">
        <v>8</v>
      </c>
      <c r="C187" s="2">
        <v>0.35694444444444445</v>
      </c>
      <c r="D187" s="2">
        <v>0.85138888888888886</v>
      </c>
      <c r="E187" s="5">
        <f t="shared" si="8"/>
        <v>0.49444444444444441</v>
      </c>
      <c r="F187" s="6">
        <f t="shared" si="9"/>
        <v>1.98</v>
      </c>
    </row>
    <row r="188" spans="1:6" x14ac:dyDescent="0.3">
      <c r="A188" s="4">
        <v>46035</v>
      </c>
      <c r="B188" s="1" t="s">
        <v>34</v>
      </c>
      <c r="C188" s="2">
        <v>0.28958333333333336</v>
      </c>
      <c r="D188" s="2">
        <v>0.7895833333333333</v>
      </c>
      <c r="E188" s="5">
        <f t="shared" si="8"/>
        <v>0.49999999999999994</v>
      </c>
      <c r="F188" s="6">
        <f t="shared" si="9"/>
        <v>2</v>
      </c>
    </row>
    <row r="189" spans="1:6" x14ac:dyDescent="0.3">
      <c r="A189" s="4">
        <v>46035</v>
      </c>
      <c r="B189" s="1" t="s">
        <v>45</v>
      </c>
      <c r="C189" s="2">
        <v>46035.791666666664</v>
      </c>
      <c r="D189" s="2">
        <v>46036.31527777778</v>
      </c>
      <c r="E189" s="5">
        <f t="shared" si="8"/>
        <v>0.523611111115315</v>
      </c>
      <c r="F189" s="6">
        <f t="shared" si="9"/>
        <v>2.09</v>
      </c>
    </row>
    <row r="190" spans="1:6" x14ac:dyDescent="0.3">
      <c r="A190" s="4">
        <v>46035</v>
      </c>
      <c r="B190" s="1" t="s">
        <v>4</v>
      </c>
      <c r="C190" s="2">
        <v>46035.796527777777</v>
      </c>
      <c r="D190" s="2">
        <v>46036.306944444441</v>
      </c>
      <c r="E190" s="5">
        <f t="shared" si="8"/>
        <v>0.51041666666424135</v>
      </c>
      <c r="F190" s="6">
        <f t="shared" si="9"/>
        <v>2.04</v>
      </c>
    </row>
    <row r="191" spans="1:6" x14ac:dyDescent="0.3">
      <c r="A191" s="4">
        <v>46036</v>
      </c>
      <c r="B191" s="1" t="s">
        <v>6</v>
      </c>
      <c r="C191" s="2">
        <v>0.22916666666666666</v>
      </c>
      <c r="D191" s="2">
        <v>0.8</v>
      </c>
      <c r="E191" s="5">
        <f t="shared" si="8"/>
        <v>0.57083333333333341</v>
      </c>
      <c r="F191" s="6">
        <f t="shared" si="9"/>
        <v>2.2799999999999998</v>
      </c>
    </row>
    <row r="192" spans="1:6" x14ac:dyDescent="0.3">
      <c r="A192" s="4">
        <v>46036</v>
      </c>
      <c r="B192" s="1" t="s">
        <v>43</v>
      </c>
      <c r="C192" s="2">
        <v>0.23749999999999999</v>
      </c>
      <c r="D192" s="2">
        <v>0.77013888888888893</v>
      </c>
      <c r="E192" s="5">
        <f t="shared" si="8"/>
        <v>0.53263888888888888</v>
      </c>
      <c r="F192" s="6">
        <f t="shared" si="9"/>
        <v>2.13</v>
      </c>
    </row>
    <row r="193" spans="1:6" x14ac:dyDescent="0.3">
      <c r="A193" s="4">
        <v>46036</v>
      </c>
      <c r="B193" s="1" t="s">
        <v>31</v>
      </c>
      <c r="C193" s="2">
        <v>0.24027777777777778</v>
      </c>
      <c r="D193" s="2">
        <v>0.79583333333333328</v>
      </c>
      <c r="E193" s="5">
        <f t="shared" si="8"/>
        <v>0.55555555555555547</v>
      </c>
      <c r="F193" s="6">
        <f t="shared" si="9"/>
        <v>2.2200000000000002</v>
      </c>
    </row>
    <row r="194" spans="1:6" x14ac:dyDescent="0.3">
      <c r="A194" s="4">
        <v>46036</v>
      </c>
      <c r="B194" s="1" t="s">
        <v>8</v>
      </c>
      <c r="C194" s="2">
        <v>0.24513888888888888</v>
      </c>
      <c r="D194" s="2">
        <v>0.77569444444444446</v>
      </c>
      <c r="E194" s="5">
        <f t="shared" si="8"/>
        <v>0.53055555555555556</v>
      </c>
      <c r="F194" s="6">
        <f t="shared" si="9"/>
        <v>2.12</v>
      </c>
    </row>
    <row r="195" spans="1:6" x14ac:dyDescent="0.3">
      <c r="A195" s="4">
        <v>46036</v>
      </c>
      <c r="B195" s="1" t="s">
        <v>27</v>
      </c>
      <c r="C195" s="2">
        <v>0.28263888888888888</v>
      </c>
      <c r="D195" s="2">
        <v>0.84027777777777779</v>
      </c>
      <c r="E195" s="5">
        <f t="shared" ref="E195:E258" si="10">D195-C195</f>
        <v>0.55763888888888891</v>
      </c>
      <c r="F195" s="6">
        <f t="shared" ref="F195:F258" si="11">ROUND(VALUE(E195)*4,2)</f>
        <v>2.23</v>
      </c>
    </row>
    <row r="196" spans="1:6" x14ac:dyDescent="0.3">
      <c r="A196" s="4">
        <v>46036</v>
      </c>
      <c r="B196" s="1" t="s">
        <v>51</v>
      </c>
      <c r="C196" s="2">
        <v>0.28749999999999998</v>
      </c>
      <c r="D196" s="2">
        <v>0.40972222222222221</v>
      </c>
      <c r="E196" s="5">
        <f t="shared" si="10"/>
        <v>0.12222222222222223</v>
      </c>
      <c r="F196" s="6">
        <f t="shared" si="11"/>
        <v>0.49</v>
      </c>
    </row>
    <row r="197" spans="1:6" x14ac:dyDescent="0.3">
      <c r="A197" s="4">
        <v>46036</v>
      </c>
      <c r="B197" s="1" t="s">
        <v>29</v>
      </c>
      <c r="C197" s="2">
        <v>0.28819444444444442</v>
      </c>
      <c r="D197" s="2">
        <v>0.77500000000000002</v>
      </c>
      <c r="E197" s="5">
        <f t="shared" si="10"/>
        <v>0.4868055555555556</v>
      </c>
      <c r="F197" s="6">
        <f t="shared" si="11"/>
        <v>1.95</v>
      </c>
    </row>
    <row r="198" spans="1:6" x14ac:dyDescent="0.3">
      <c r="A198" s="4">
        <v>46036</v>
      </c>
      <c r="B198" s="1" t="s">
        <v>41</v>
      </c>
      <c r="C198" s="2">
        <v>0.28958333333333336</v>
      </c>
      <c r="D198" s="2">
        <v>0.78472222222222221</v>
      </c>
      <c r="E198" s="5">
        <f t="shared" si="10"/>
        <v>0.49513888888888885</v>
      </c>
      <c r="F198" s="6">
        <f t="shared" si="11"/>
        <v>1.98</v>
      </c>
    </row>
    <row r="199" spans="1:6" x14ac:dyDescent="0.3">
      <c r="A199" s="4">
        <v>46036</v>
      </c>
      <c r="B199" s="1" t="s">
        <v>39</v>
      </c>
      <c r="C199" s="2">
        <v>0.29444444444444445</v>
      </c>
      <c r="D199" s="2">
        <v>0.79374999999999996</v>
      </c>
      <c r="E199" s="5">
        <f t="shared" si="10"/>
        <v>0.4993055555555555</v>
      </c>
      <c r="F199" s="6">
        <f t="shared" si="11"/>
        <v>2</v>
      </c>
    </row>
    <row r="200" spans="1:6" x14ac:dyDescent="0.3">
      <c r="A200" s="4">
        <v>46036</v>
      </c>
      <c r="B200" s="1" t="s">
        <v>37</v>
      </c>
      <c r="C200" s="2">
        <v>0.29722222222222222</v>
      </c>
      <c r="D200" s="2">
        <v>0.80138888888888893</v>
      </c>
      <c r="E200" s="5">
        <f t="shared" si="10"/>
        <v>0.50416666666666665</v>
      </c>
      <c r="F200" s="6">
        <f t="shared" si="11"/>
        <v>2.02</v>
      </c>
    </row>
    <row r="201" spans="1:6" x14ac:dyDescent="0.3">
      <c r="A201" s="4">
        <v>46036</v>
      </c>
      <c r="B201" s="1" t="s">
        <v>35</v>
      </c>
      <c r="C201" s="2">
        <v>0.29791666666666666</v>
      </c>
      <c r="D201" s="2">
        <v>0.94097222222222221</v>
      </c>
      <c r="E201" s="5">
        <f t="shared" si="10"/>
        <v>0.64305555555555549</v>
      </c>
      <c r="F201" s="6">
        <f t="shared" si="11"/>
        <v>2.57</v>
      </c>
    </row>
    <row r="202" spans="1:6" x14ac:dyDescent="0.3">
      <c r="A202" s="4">
        <v>46036</v>
      </c>
      <c r="B202" s="1" t="s">
        <v>28</v>
      </c>
      <c r="C202" s="2">
        <v>0.30138888888888887</v>
      </c>
      <c r="D202" s="2">
        <v>0.80902777777777779</v>
      </c>
      <c r="E202" s="5">
        <f t="shared" si="10"/>
        <v>0.50763888888888897</v>
      </c>
      <c r="F202" s="6">
        <f t="shared" si="11"/>
        <v>2.0299999999999998</v>
      </c>
    </row>
    <row r="203" spans="1:6" x14ac:dyDescent="0.3">
      <c r="A203" s="4">
        <v>46036</v>
      </c>
      <c r="B203" s="1" t="s">
        <v>47</v>
      </c>
      <c r="C203" s="2">
        <v>46036.324305555558</v>
      </c>
      <c r="D203" s="2">
        <v>46037.070138888892</v>
      </c>
      <c r="E203" s="5">
        <f t="shared" si="10"/>
        <v>0.74583333333430346</v>
      </c>
      <c r="F203" s="6">
        <f t="shared" si="11"/>
        <v>2.98</v>
      </c>
    </row>
    <row r="204" spans="1:6" x14ac:dyDescent="0.3">
      <c r="A204" s="4">
        <v>46036</v>
      </c>
      <c r="B204" s="1" t="s">
        <v>63</v>
      </c>
      <c r="C204" s="2">
        <v>0.32708333333333334</v>
      </c>
      <c r="D204" s="2">
        <v>0.54652777777777772</v>
      </c>
      <c r="E204" s="5">
        <f t="shared" si="10"/>
        <v>0.21944444444444439</v>
      </c>
      <c r="F204" s="6">
        <f t="shared" si="11"/>
        <v>0.88</v>
      </c>
    </row>
    <row r="205" spans="1:6" x14ac:dyDescent="0.3">
      <c r="A205" s="4">
        <v>46036</v>
      </c>
      <c r="B205" s="1" t="s">
        <v>23</v>
      </c>
      <c r="C205" s="2">
        <v>0.33194444444444443</v>
      </c>
      <c r="D205" s="2">
        <v>0.77083333333333337</v>
      </c>
      <c r="E205" s="5">
        <f t="shared" si="10"/>
        <v>0.43888888888888894</v>
      </c>
      <c r="F205" s="6">
        <f t="shared" si="11"/>
        <v>1.76</v>
      </c>
    </row>
    <row r="206" spans="1:6" x14ac:dyDescent="0.3">
      <c r="A206" s="4">
        <v>46036</v>
      </c>
      <c r="B206" s="1" t="s">
        <v>40</v>
      </c>
      <c r="C206" s="2">
        <v>0.49375000000000002</v>
      </c>
      <c r="D206" s="2">
        <v>0.85277777777777775</v>
      </c>
      <c r="E206" s="5">
        <f t="shared" si="10"/>
        <v>0.35902777777777772</v>
      </c>
      <c r="F206" s="6">
        <f t="shared" si="11"/>
        <v>1.44</v>
      </c>
    </row>
    <row r="207" spans="1:6" x14ac:dyDescent="0.3">
      <c r="A207" s="4">
        <v>46036</v>
      </c>
      <c r="B207" s="1" t="s">
        <v>51</v>
      </c>
      <c r="C207" s="2">
        <v>0.55833333333333335</v>
      </c>
      <c r="D207" s="2">
        <v>0.8041666666666667</v>
      </c>
      <c r="E207" s="5">
        <f t="shared" si="10"/>
        <v>0.24583333333333335</v>
      </c>
      <c r="F207" s="6">
        <f t="shared" si="11"/>
        <v>0.98</v>
      </c>
    </row>
    <row r="208" spans="1:6" x14ac:dyDescent="0.3">
      <c r="A208" s="4">
        <v>46036</v>
      </c>
      <c r="B208" s="1" t="s">
        <v>26</v>
      </c>
      <c r="C208" s="2">
        <v>0.29166666666666669</v>
      </c>
      <c r="D208" s="2">
        <v>0.58680555555555558</v>
      </c>
      <c r="E208" s="5">
        <f t="shared" si="10"/>
        <v>0.2951388888888889</v>
      </c>
      <c r="F208" s="6">
        <f t="shared" si="11"/>
        <v>1.18</v>
      </c>
    </row>
    <row r="209" spans="1:6" x14ac:dyDescent="0.3">
      <c r="A209" s="4">
        <v>46036</v>
      </c>
      <c r="B209" s="1" t="s">
        <v>5</v>
      </c>
      <c r="C209" s="2">
        <v>46036.792361111111</v>
      </c>
      <c r="D209" s="2">
        <v>46037.318749999999</v>
      </c>
      <c r="E209" s="5">
        <f t="shared" si="10"/>
        <v>0.52638888888759539</v>
      </c>
      <c r="F209" s="6">
        <f t="shared" si="11"/>
        <v>2.11</v>
      </c>
    </row>
    <row r="210" spans="1:6" x14ac:dyDescent="0.3">
      <c r="A210" s="4">
        <v>46036</v>
      </c>
      <c r="B210" s="1" t="s">
        <v>44</v>
      </c>
      <c r="C210" s="2">
        <v>46036.795138888891</v>
      </c>
      <c r="D210" s="2">
        <v>46037.313194444447</v>
      </c>
      <c r="E210" s="5">
        <f t="shared" si="10"/>
        <v>0.51805555555620231</v>
      </c>
      <c r="F210" s="6">
        <f t="shared" si="11"/>
        <v>2.0699999999999998</v>
      </c>
    </row>
    <row r="211" spans="1:6" x14ac:dyDescent="0.3">
      <c r="A211" s="4">
        <v>46037</v>
      </c>
      <c r="B211" s="1" t="s">
        <v>45</v>
      </c>
      <c r="C211" s="2">
        <v>0.24444444444444444</v>
      </c>
      <c r="D211" s="2">
        <v>0.68055555555555558</v>
      </c>
      <c r="E211" s="5">
        <f t="shared" si="10"/>
        <v>0.43611111111111112</v>
      </c>
      <c r="F211" s="6">
        <f t="shared" si="11"/>
        <v>1.74</v>
      </c>
    </row>
    <row r="212" spans="1:6" x14ac:dyDescent="0.3">
      <c r="A212" s="4">
        <v>46037</v>
      </c>
      <c r="B212" s="1" t="s">
        <v>50</v>
      </c>
      <c r="C212" s="2">
        <v>0.24652777777777779</v>
      </c>
      <c r="D212" s="2">
        <v>0.37430555555555556</v>
      </c>
      <c r="E212" s="5">
        <f t="shared" si="10"/>
        <v>0.12777777777777777</v>
      </c>
      <c r="F212" s="6">
        <f t="shared" si="11"/>
        <v>0.51</v>
      </c>
    </row>
    <row r="213" spans="1:6" x14ac:dyDescent="0.3">
      <c r="A213" s="4">
        <v>46037</v>
      </c>
      <c r="B213" s="1" t="s">
        <v>8</v>
      </c>
      <c r="C213" s="2">
        <v>0.25069444444444444</v>
      </c>
      <c r="D213" s="2">
        <v>0.73055555555555551</v>
      </c>
      <c r="E213" s="5">
        <f t="shared" si="10"/>
        <v>0.47986111111111107</v>
      </c>
      <c r="F213" s="6">
        <f t="shared" si="11"/>
        <v>1.92</v>
      </c>
    </row>
    <row r="214" spans="1:6" x14ac:dyDescent="0.3">
      <c r="A214" s="4">
        <v>46037</v>
      </c>
      <c r="B214" s="1" t="s">
        <v>29</v>
      </c>
      <c r="C214" s="2">
        <v>0.28194444444444444</v>
      </c>
      <c r="D214" s="2">
        <v>0.82222222222222219</v>
      </c>
      <c r="E214" s="5">
        <f t="shared" si="10"/>
        <v>0.54027777777777775</v>
      </c>
      <c r="F214" s="6">
        <f t="shared" si="11"/>
        <v>2.16</v>
      </c>
    </row>
    <row r="215" spans="1:6" x14ac:dyDescent="0.3">
      <c r="A215" s="4">
        <v>46037</v>
      </c>
      <c r="B215" s="1" t="s">
        <v>43</v>
      </c>
      <c r="C215" s="2">
        <v>0.28680555555555554</v>
      </c>
      <c r="D215" s="2">
        <v>0.78680555555555554</v>
      </c>
      <c r="E215" s="5">
        <f t="shared" si="10"/>
        <v>0.5</v>
      </c>
      <c r="F215" s="6">
        <f t="shared" si="11"/>
        <v>2</v>
      </c>
    </row>
    <row r="216" spans="1:6" x14ac:dyDescent="0.3">
      <c r="A216" s="4">
        <v>46037</v>
      </c>
      <c r="B216" s="1" t="s">
        <v>36</v>
      </c>
      <c r="C216" s="2">
        <v>0.29375000000000001</v>
      </c>
      <c r="D216" s="2">
        <v>0.77986111111111112</v>
      </c>
      <c r="E216" s="5">
        <f t="shared" si="10"/>
        <v>0.4861111111111111</v>
      </c>
      <c r="F216" s="6">
        <f t="shared" si="11"/>
        <v>1.94</v>
      </c>
    </row>
    <row r="217" spans="1:6" x14ac:dyDescent="0.3">
      <c r="A217" s="4">
        <v>46037</v>
      </c>
      <c r="B217" s="1" t="s">
        <v>34</v>
      </c>
      <c r="C217" s="2">
        <v>0.2986111111111111</v>
      </c>
      <c r="D217" s="2">
        <v>0.80555555555555558</v>
      </c>
      <c r="E217" s="5">
        <f t="shared" si="10"/>
        <v>0.50694444444444442</v>
      </c>
      <c r="F217" s="6">
        <f t="shared" si="11"/>
        <v>2.0299999999999998</v>
      </c>
    </row>
    <row r="218" spans="1:6" x14ac:dyDescent="0.3">
      <c r="A218" s="4">
        <v>46037</v>
      </c>
      <c r="B218" s="1" t="s">
        <v>4</v>
      </c>
      <c r="C218" s="2">
        <v>0.3</v>
      </c>
      <c r="D218" s="2">
        <v>0.87083333333333335</v>
      </c>
      <c r="E218" s="5">
        <f t="shared" si="10"/>
        <v>0.5708333333333333</v>
      </c>
      <c r="F218" s="6">
        <f t="shared" si="11"/>
        <v>2.2799999999999998</v>
      </c>
    </row>
    <row r="219" spans="1:6" x14ac:dyDescent="0.3">
      <c r="A219" s="4">
        <v>46037</v>
      </c>
      <c r="B219" s="1" t="s">
        <v>28</v>
      </c>
      <c r="C219" s="2">
        <v>0.30277777777777776</v>
      </c>
      <c r="D219" s="2">
        <v>0.80069444444444449</v>
      </c>
      <c r="E219" s="5">
        <f t="shared" si="10"/>
        <v>0.49791666666666673</v>
      </c>
      <c r="F219" s="6">
        <f t="shared" si="11"/>
        <v>1.99</v>
      </c>
    </row>
    <row r="220" spans="1:6" x14ac:dyDescent="0.3">
      <c r="A220" s="4">
        <v>46037</v>
      </c>
      <c r="B220" s="1" t="s">
        <v>40</v>
      </c>
      <c r="C220" s="2">
        <v>0.30972222222222223</v>
      </c>
      <c r="D220" s="2">
        <v>0.7895833333333333</v>
      </c>
      <c r="E220" s="5">
        <f t="shared" si="10"/>
        <v>0.47986111111111107</v>
      </c>
      <c r="F220" s="6">
        <f t="shared" si="11"/>
        <v>1.92</v>
      </c>
    </row>
    <row r="221" spans="1:6" x14ac:dyDescent="0.3">
      <c r="A221" s="4">
        <v>46037</v>
      </c>
      <c r="B221" s="1" t="s">
        <v>24</v>
      </c>
      <c r="C221" s="2">
        <v>0.31874999999999998</v>
      </c>
      <c r="D221" s="2">
        <v>0.74444444444444446</v>
      </c>
      <c r="E221" s="5">
        <f t="shared" si="10"/>
        <v>0.42569444444444449</v>
      </c>
      <c r="F221" s="6">
        <f t="shared" si="11"/>
        <v>1.7</v>
      </c>
    </row>
    <row r="222" spans="1:6" x14ac:dyDescent="0.3">
      <c r="A222" s="4">
        <v>46037</v>
      </c>
      <c r="B222" s="1" t="s">
        <v>7</v>
      </c>
      <c r="C222" s="2">
        <v>0.3263888888888889</v>
      </c>
      <c r="D222" s="2">
        <v>0.65138888888888891</v>
      </c>
      <c r="E222" s="5">
        <f t="shared" si="10"/>
        <v>0.32500000000000001</v>
      </c>
      <c r="F222" s="6">
        <f t="shared" si="11"/>
        <v>1.3</v>
      </c>
    </row>
    <row r="223" spans="1:6" x14ac:dyDescent="0.3">
      <c r="A223" s="4">
        <v>46037</v>
      </c>
      <c r="B223" s="1" t="s">
        <v>26</v>
      </c>
      <c r="C223" s="2">
        <v>0.29166666666666669</v>
      </c>
      <c r="D223" s="2">
        <v>0.67708333333333337</v>
      </c>
      <c r="E223" s="5">
        <f t="shared" si="10"/>
        <v>0.38541666666666669</v>
      </c>
      <c r="F223" s="6">
        <f t="shared" si="11"/>
        <v>1.54</v>
      </c>
    </row>
    <row r="224" spans="1:6" x14ac:dyDescent="0.3">
      <c r="A224" s="4">
        <v>46037</v>
      </c>
      <c r="B224" s="1" t="s">
        <v>39</v>
      </c>
      <c r="C224" s="2">
        <v>0.33680555555555558</v>
      </c>
      <c r="D224" s="2">
        <v>0.79513888888888884</v>
      </c>
      <c r="E224" s="5">
        <f t="shared" si="10"/>
        <v>0.45833333333333326</v>
      </c>
      <c r="F224" s="6">
        <f t="shared" si="11"/>
        <v>1.83</v>
      </c>
    </row>
    <row r="225" spans="1:6" x14ac:dyDescent="0.3">
      <c r="A225" s="4">
        <v>46037</v>
      </c>
      <c r="B225" s="1" t="s">
        <v>25</v>
      </c>
      <c r="C225" s="2">
        <v>0.34166666666666667</v>
      </c>
      <c r="D225" s="2">
        <v>0.44583333333333336</v>
      </c>
      <c r="E225" s="5">
        <f t="shared" si="10"/>
        <v>0.10416666666666669</v>
      </c>
      <c r="F225" s="6">
        <f t="shared" si="11"/>
        <v>0.42</v>
      </c>
    </row>
    <row r="226" spans="1:6" x14ac:dyDescent="0.3">
      <c r="A226" s="4">
        <v>46037</v>
      </c>
      <c r="B226" s="1" t="s">
        <v>33</v>
      </c>
      <c r="C226" s="2">
        <v>0.29166666666666669</v>
      </c>
      <c r="D226" s="2">
        <v>0.7583333333333333</v>
      </c>
      <c r="E226" s="5">
        <f t="shared" si="10"/>
        <v>0.46666666666666662</v>
      </c>
      <c r="F226" s="6">
        <f t="shared" si="11"/>
        <v>1.87</v>
      </c>
    </row>
    <row r="227" spans="1:6" x14ac:dyDescent="0.3">
      <c r="A227" s="4">
        <v>46037</v>
      </c>
      <c r="B227" s="1" t="s">
        <v>51</v>
      </c>
      <c r="C227" s="2">
        <v>0.36249999999999999</v>
      </c>
      <c r="D227" s="2">
        <v>0.80555555555555558</v>
      </c>
      <c r="E227" s="5">
        <f t="shared" si="10"/>
        <v>0.44305555555555559</v>
      </c>
      <c r="F227" s="6">
        <f t="shared" si="11"/>
        <v>1.77</v>
      </c>
    </row>
    <row r="228" spans="1:6" x14ac:dyDescent="0.3">
      <c r="A228" s="4">
        <v>46037</v>
      </c>
      <c r="B228" s="1" t="s">
        <v>25</v>
      </c>
      <c r="C228" s="2">
        <v>0.58680555555555558</v>
      </c>
      <c r="D228" s="2">
        <v>0.77916666666666667</v>
      </c>
      <c r="E228" s="5">
        <f t="shared" si="10"/>
        <v>0.19236111111111109</v>
      </c>
      <c r="F228" s="6">
        <f t="shared" si="11"/>
        <v>0.77</v>
      </c>
    </row>
    <row r="229" spans="1:6" x14ac:dyDescent="0.3">
      <c r="A229" s="4">
        <v>46037</v>
      </c>
      <c r="B229" s="1" t="s">
        <v>47</v>
      </c>
      <c r="C229" s="2">
        <v>46037.790972222225</v>
      </c>
      <c r="D229" s="2">
        <v>46038.303472222222</v>
      </c>
      <c r="E229" s="5">
        <f t="shared" si="10"/>
        <v>0.51249999999708962</v>
      </c>
      <c r="F229" s="6">
        <f t="shared" si="11"/>
        <v>2.0499999999999998</v>
      </c>
    </row>
    <row r="230" spans="1:6" x14ac:dyDescent="0.3">
      <c r="A230" s="4">
        <v>46037</v>
      </c>
      <c r="B230" s="1" t="s">
        <v>7</v>
      </c>
      <c r="C230" s="2">
        <v>0.79305555555555551</v>
      </c>
      <c r="D230" s="2">
        <v>0.90763888888888888</v>
      </c>
      <c r="E230" s="5">
        <f t="shared" si="10"/>
        <v>0.11458333333333337</v>
      </c>
      <c r="F230" s="6">
        <f t="shared" si="11"/>
        <v>0.46</v>
      </c>
    </row>
    <row r="231" spans="1:6" x14ac:dyDescent="0.3">
      <c r="A231" s="4">
        <v>46037</v>
      </c>
      <c r="B231" s="1" t="s">
        <v>38</v>
      </c>
      <c r="C231" s="2">
        <v>46037.863194444442</v>
      </c>
      <c r="D231" s="2">
        <v>46038.301388888889</v>
      </c>
      <c r="E231" s="5">
        <f t="shared" si="10"/>
        <v>0.43819444444670808</v>
      </c>
      <c r="F231" s="6">
        <f t="shared" si="11"/>
        <v>1.75</v>
      </c>
    </row>
    <row r="232" spans="1:6" x14ac:dyDescent="0.3">
      <c r="A232" s="4">
        <v>46038</v>
      </c>
      <c r="B232" s="1" t="s">
        <v>27</v>
      </c>
      <c r="C232" s="2">
        <v>0.23402777777777778</v>
      </c>
      <c r="D232" s="2">
        <v>0.71597222222222223</v>
      </c>
      <c r="E232" s="5">
        <f t="shared" si="10"/>
        <v>0.48194444444444445</v>
      </c>
      <c r="F232" s="6">
        <f t="shared" si="11"/>
        <v>1.93</v>
      </c>
    </row>
    <row r="233" spans="1:6" x14ac:dyDescent="0.3">
      <c r="A233" s="4">
        <v>46038</v>
      </c>
      <c r="B233" s="1" t="s">
        <v>29</v>
      </c>
      <c r="C233" s="2">
        <v>0.24236111111111111</v>
      </c>
      <c r="D233" s="2">
        <v>0.87916666666666665</v>
      </c>
      <c r="E233" s="5">
        <f t="shared" si="10"/>
        <v>0.63680555555555551</v>
      </c>
      <c r="F233" s="6">
        <f t="shared" si="11"/>
        <v>2.5499999999999998</v>
      </c>
    </row>
    <row r="234" spans="1:6" x14ac:dyDescent="0.3">
      <c r="A234" s="4">
        <v>46038</v>
      </c>
      <c r="B234" s="1" t="s">
        <v>7</v>
      </c>
      <c r="C234" s="2">
        <v>0.24861111111111112</v>
      </c>
      <c r="D234" s="2">
        <v>0.29583333333333334</v>
      </c>
      <c r="E234" s="5">
        <f t="shared" si="10"/>
        <v>4.7222222222222221E-2</v>
      </c>
      <c r="F234" s="6">
        <f t="shared" si="11"/>
        <v>0.19</v>
      </c>
    </row>
    <row r="235" spans="1:6" x14ac:dyDescent="0.3">
      <c r="A235" s="4">
        <v>46038</v>
      </c>
      <c r="B235" s="1" t="s">
        <v>31</v>
      </c>
      <c r="C235" s="2">
        <v>0.28055555555555556</v>
      </c>
      <c r="D235" s="2">
        <v>0.85416666666666663</v>
      </c>
      <c r="E235" s="5">
        <f t="shared" si="10"/>
        <v>0.57361111111111107</v>
      </c>
      <c r="F235" s="6">
        <f t="shared" si="11"/>
        <v>2.29</v>
      </c>
    </row>
    <row r="236" spans="1:6" x14ac:dyDescent="0.3">
      <c r="A236" s="4">
        <v>46038</v>
      </c>
      <c r="B236" s="1" t="s">
        <v>4</v>
      </c>
      <c r="C236" s="2">
        <v>0.28819444444444442</v>
      </c>
      <c r="D236" s="2">
        <v>0.82291666666666663</v>
      </c>
      <c r="E236" s="5">
        <f t="shared" si="10"/>
        <v>0.53472222222222221</v>
      </c>
      <c r="F236" s="6">
        <f t="shared" si="11"/>
        <v>2.14</v>
      </c>
    </row>
    <row r="237" spans="1:6" x14ac:dyDescent="0.3">
      <c r="A237" s="4">
        <v>46038</v>
      </c>
      <c r="B237" s="1" t="s">
        <v>5</v>
      </c>
      <c r="C237" s="2">
        <v>0.29097222222222224</v>
      </c>
      <c r="D237" s="2">
        <v>0.80486111111111114</v>
      </c>
      <c r="E237" s="5">
        <f t="shared" si="10"/>
        <v>0.51388888888888884</v>
      </c>
      <c r="F237" s="6">
        <f t="shared" si="11"/>
        <v>2.06</v>
      </c>
    </row>
    <row r="238" spans="1:6" x14ac:dyDescent="0.3">
      <c r="A238" s="4">
        <v>46038</v>
      </c>
      <c r="B238" s="1" t="s">
        <v>28</v>
      </c>
      <c r="C238" s="2">
        <v>0.29375000000000001</v>
      </c>
      <c r="D238" s="2">
        <v>0.51527777777777772</v>
      </c>
      <c r="E238" s="5">
        <f t="shared" si="10"/>
        <v>0.22152777777777771</v>
      </c>
      <c r="F238" s="6">
        <f t="shared" si="11"/>
        <v>0.89</v>
      </c>
    </row>
    <row r="239" spans="1:6" x14ac:dyDescent="0.3">
      <c r="A239" s="4">
        <v>46038</v>
      </c>
      <c r="B239" s="1" t="s">
        <v>34</v>
      </c>
      <c r="C239" s="2">
        <v>0.2986111111111111</v>
      </c>
      <c r="D239" s="2">
        <v>0.81666666666666665</v>
      </c>
      <c r="E239" s="5">
        <f t="shared" si="10"/>
        <v>0.51805555555555549</v>
      </c>
      <c r="F239" s="6">
        <f t="shared" si="11"/>
        <v>2.0699999999999998</v>
      </c>
    </row>
    <row r="240" spans="1:6" x14ac:dyDescent="0.3">
      <c r="A240" s="4">
        <v>46038</v>
      </c>
      <c r="B240" s="1" t="s">
        <v>23</v>
      </c>
      <c r="C240" s="2">
        <v>0.3</v>
      </c>
      <c r="D240" s="2">
        <v>0.80208333333333337</v>
      </c>
      <c r="E240" s="5">
        <f t="shared" si="10"/>
        <v>0.50208333333333344</v>
      </c>
      <c r="F240" s="6">
        <f t="shared" si="11"/>
        <v>2.0099999999999998</v>
      </c>
    </row>
    <row r="241" spans="1:6" x14ac:dyDescent="0.3">
      <c r="A241" s="4">
        <v>46038</v>
      </c>
      <c r="B241" s="1" t="s">
        <v>43</v>
      </c>
      <c r="C241" s="2">
        <v>46038.302777777775</v>
      </c>
      <c r="D241" s="2">
        <v>46039.06527777778</v>
      </c>
      <c r="E241" s="5">
        <f t="shared" si="10"/>
        <v>0.76250000000436557</v>
      </c>
      <c r="F241" s="6">
        <f t="shared" si="11"/>
        <v>3.05</v>
      </c>
    </row>
    <row r="242" spans="1:6" x14ac:dyDescent="0.3">
      <c r="A242" s="4">
        <v>46038</v>
      </c>
      <c r="B242" s="1" t="s">
        <v>39</v>
      </c>
      <c r="C242" s="2">
        <v>0.31597222222222221</v>
      </c>
      <c r="D242" s="2">
        <v>0.8125</v>
      </c>
      <c r="E242" s="5">
        <f t="shared" si="10"/>
        <v>0.49652777777777779</v>
      </c>
      <c r="F242" s="6">
        <f t="shared" si="11"/>
        <v>1.99</v>
      </c>
    </row>
    <row r="243" spans="1:6" x14ac:dyDescent="0.3">
      <c r="A243" s="4">
        <v>46038</v>
      </c>
      <c r="B243" s="1" t="s">
        <v>30</v>
      </c>
      <c r="C243" s="2">
        <v>0.30555555555555558</v>
      </c>
      <c r="D243" s="2">
        <v>0.79166666666666663</v>
      </c>
      <c r="E243" s="5">
        <f t="shared" si="10"/>
        <v>0.48611111111111105</v>
      </c>
      <c r="F243" s="6">
        <f t="shared" si="11"/>
        <v>1.94</v>
      </c>
    </row>
    <row r="244" spans="1:6" x14ac:dyDescent="0.3">
      <c r="A244" s="4">
        <v>46038</v>
      </c>
      <c r="B244" s="1" t="s">
        <v>41</v>
      </c>
      <c r="C244" s="2">
        <v>0.32013888888888886</v>
      </c>
      <c r="D244" s="2">
        <v>0.69861111111111107</v>
      </c>
      <c r="E244" s="5">
        <f t="shared" si="10"/>
        <v>0.37847222222222221</v>
      </c>
      <c r="F244" s="6">
        <f t="shared" si="11"/>
        <v>1.51</v>
      </c>
    </row>
    <row r="245" spans="1:6" x14ac:dyDescent="0.3">
      <c r="A245" s="4">
        <v>46038</v>
      </c>
      <c r="B245" s="1" t="s">
        <v>45</v>
      </c>
      <c r="C245" s="2">
        <v>0.32083333333333336</v>
      </c>
      <c r="D245" s="2">
        <v>0.91249999999999998</v>
      </c>
      <c r="E245" s="5">
        <f t="shared" si="10"/>
        <v>0.59166666666666656</v>
      </c>
      <c r="F245" s="6">
        <f t="shared" si="11"/>
        <v>2.37</v>
      </c>
    </row>
    <row r="246" spans="1:6" x14ac:dyDescent="0.3">
      <c r="A246" s="4">
        <v>46038</v>
      </c>
      <c r="B246" s="1" t="s">
        <v>6</v>
      </c>
      <c r="C246" s="2">
        <v>0.29166666666666669</v>
      </c>
      <c r="D246" s="2">
        <v>0.74513888888888891</v>
      </c>
      <c r="E246" s="5">
        <f t="shared" si="10"/>
        <v>0.45347222222222222</v>
      </c>
      <c r="F246" s="6">
        <f t="shared" si="11"/>
        <v>1.81</v>
      </c>
    </row>
    <row r="247" spans="1:6" x14ac:dyDescent="0.3">
      <c r="A247" s="4">
        <v>46038</v>
      </c>
      <c r="B247" s="1" t="s">
        <v>37</v>
      </c>
      <c r="C247" s="2">
        <v>0.32847222222222222</v>
      </c>
      <c r="D247" s="2">
        <v>0.45555555555555555</v>
      </c>
      <c r="E247" s="5">
        <f t="shared" si="10"/>
        <v>0.12708333333333333</v>
      </c>
      <c r="F247" s="6">
        <f t="shared" si="11"/>
        <v>0.51</v>
      </c>
    </row>
    <row r="248" spans="1:6" x14ac:dyDescent="0.3">
      <c r="A248" s="4">
        <v>46038</v>
      </c>
      <c r="B248" s="1" t="s">
        <v>40</v>
      </c>
      <c r="C248" s="2">
        <v>46038.790972222225</v>
      </c>
      <c r="D248" s="2">
        <v>46039.293055555558</v>
      </c>
      <c r="E248" s="5">
        <f t="shared" si="10"/>
        <v>0.50208333333284827</v>
      </c>
      <c r="F248" s="6">
        <f t="shared" si="11"/>
        <v>2.0099999999999998</v>
      </c>
    </row>
    <row r="249" spans="1:6" x14ac:dyDescent="0.3">
      <c r="A249" s="4">
        <v>46038</v>
      </c>
      <c r="B249" s="1" t="s">
        <v>7</v>
      </c>
      <c r="C249" s="2">
        <v>46038.793055555558</v>
      </c>
      <c r="D249" s="2">
        <v>46039.311111111114</v>
      </c>
      <c r="E249" s="5">
        <f t="shared" si="10"/>
        <v>0.51805555555620231</v>
      </c>
      <c r="F249" s="6">
        <f t="shared" si="11"/>
        <v>2.0699999999999998</v>
      </c>
    </row>
    <row r="250" spans="1:6" x14ac:dyDescent="0.3">
      <c r="A250" s="4">
        <v>46038</v>
      </c>
      <c r="B250" s="1" t="s">
        <v>46</v>
      </c>
      <c r="C250" s="2">
        <v>0.36041666666666666</v>
      </c>
      <c r="D250" s="2">
        <v>0.80138888888888893</v>
      </c>
      <c r="E250" s="5">
        <f t="shared" si="10"/>
        <v>0.44097222222222227</v>
      </c>
      <c r="F250" s="6">
        <f t="shared" si="11"/>
        <v>1.76</v>
      </c>
    </row>
    <row r="251" spans="1:6" x14ac:dyDescent="0.3">
      <c r="A251" s="4">
        <v>46038</v>
      </c>
      <c r="B251" s="1" t="s">
        <v>35</v>
      </c>
      <c r="C251" s="2">
        <v>0.29166666666666669</v>
      </c>
      <c r="D251" s="2">
        <v>0.80763888888888891</v>
      </c>
      <c r="E251" s="5">
        <f t="shared" si="10"/>
        <v>0.51597222222222228</v>
      </c>
      <c r="F251" s="6">
        <f t="shared" si="11"/>
        <v>2.06</v>
      </c>
    </row>
    <row r="252" spans="1:6" x14ac:dyDescent="0.3">
      <c r="A252" s="4">
        <v>46039</v>
      </c>
      <c r="B252" s="1" t="s">
        <v>44</v>
      </c>
      <c r="C252" s="2">
        <v>0.24722222222222223</v>
      </c>
      <c r="D252" s="2">
        <v>0.7944444444444444</v>
      </c>
      <c r="E252" s="5">
        <f t="shared" si="10"/>
        <v>0.54722222222222217</v>
      </c>
      <c r="F252" s="6">
        <f t="shared" si="11"/>
        <v>2.19</v>
      </c>
    </row>
    <row r="253" spans="1:6" x14ac:dyDescent="0.3">
      <c r="A253" s="4">
        <v>46039</v>
      </c>
      <c r="B253" s="1" t="s">
        <v>36</v>
      </c>
      <c r="C253" s="2">
        <v>0.25069444444444444</v>
      </c>
      <c r="D253" s="2">
        <v>0.64722222222222225</v>
      </c>
      <c r="E253" s="5">
        <f t="shared" si="10"/>
        <v>0.39652777777777781</v>
      </c>
      <c r="F253" s="6">
        <f t="shared" si="11"/>
        <v>1.59</v>
      </c>
    </row>
    <row r="254" spans="1:6" x14ac:dyDescent="0.3">
      <c r="A254" s="4">
        <v>46039</v>
      </c>
      <c r="B254" s="1" t="s">
        <v>5</v>
      </c>
      <c r="C254" s="2">
        <v>0.25069444444444444</v>
      </c>
      <c r="D254" s="2">
        <v>0.53749999999999998</v>
      </c>
      <c r="E254" s="5">
        <f t="shared" si="10"/>
        <v>0.28680555555555554</v>
      </c>
      <c r="F254" s="6">
        <f t="shared" si="11"/>
        <v>1.1499999999999999</v>
      </c>
    </row>
    <row r="255" spans="1:6" x14ac:dyDescent="0.3">
      <c r="A255" s="4">
        <v>46039</v>
      </c>
      <c r="B255" s="1" t="s">
        <v>45</v>
      </c>
      <c r="C255" s="2">
        <v>0.26180555555555557</v>
      </c>
      <c r="D255" s="2">
        <v>0.52222222222222225</v>
      </c>
      <c r="E255" s="5">
        <f t="shared" si="10"/>
        <v>0.26041666666666669</v>
      </c>
      <c r="F255" s="6">
        <f t="shared" si="11"/>
        <v>1.04</v>
      </c>
    </row>
    <row r="256" spans="1:6" x14ac:dyDescent="0.3">
      <c r="A256" s="4">
        <v>46039</v>
      </c>
      <c r="B256" s="1" t="s">
        <v>34</v>
      </c>
      <c r="C256" s="2">
        <v>0.27083333333333331</v>
      </c>
      <c r="D256" s="2">
        <v>0.48888888888888887</v>
      </c>
      <c r="E256" s="5">
        <f t="shared" si="10"/>
        <v>0.21805555555555556</v>
      </c>
      <c r="F256" s="6">
        <f t="shared" si="11"/>
        <v>0.87</v>
      </c>
    </row>
    <row r="257" spans="1:6" x14ac:dyDescent="0.3">
      <c r="A257" s="4">
        <v>46039</v>
      </c>
      <c r="B257" s="1" t="s">
        <v>28</v>
      </c>
      <c r="C257" s="2">
        <v>0.28402777777777777</v>
      </c>
      <c r="D257" s="2">
        <v>0.52847222222222223</v>
      </c>
      <c r="E257" s="5">
        <f t="shared" si="10"/>
        <v>0.24444444444444446</v>
      </c>
      <c r="F257" s="6">
        <f t="shared" si="11"/>
        <v>0.98</v>
      </c>
    </row>
    <row r="258" spans="1:6" x14ac:dyDescent="0.3">
      <c r="A258" s="4">
        <v>46039</v>
      </c>
      <c r="B258" s="1" t="s">
        <v>4</v>
      </c>
      <c r="C258" s="2">
        <v>0.30486111111111114</v>
      </c>
      <c r="D258" s="2">
        <v>0.91180555555555554</v>
      </c>
      <c r="E258" s="5">
        <f t="shared" si="10"/>
        <v>0.6069444444444444</v>
      </c>
      <c r="F258" s="6">
        <f t="shared" si="11"/>
        <v>2.4300000000000002</v>
      </c>
    </row>
    <row r="259" spans="1:6" x14ac:dyDescent="0.3">
      <c r="A259" s="4">
        <v>46039</v>
      </c>
      <c r="B259" s="1" t="s">
        <v>39</v>
      </c>
      <c r="C259" s="2">
        <v>0.31041666666666667</v>
      </c>
      <c r="D259" s="2">
        <v>0.52986111111111112</v>
      </c>
      <c r="E259" s="5">
        <f t="shared" ref="E259:E322" si="12">D259-C259</f>
        <v>0.21944444444444444</v>
      </c>
      <c r="F259" s="6">
        <f t="shared" ref="F259:F322" si="13">ROUND(VALUE(E259)*4,2)</f>
        <v>0.88</v>
      </c>
    </row>
    <row r="260" spans="1:6" x14ac:dyDescent="0.3">
      <c r="A260" s="4">
        <v>46039</v>
      </c>
      <c r="B260" s="1" t="s">
        <v>64</v>
      </c>
      <c r="C260" s="2">
        <v>0.31319444444444444</v>
      </c>
      <c r="D260" s="2">
        <v>0.52361111111111114</v>
      </c>
      <c r="E260" s="5">
        <f t="shared" si="12"/>
        <v>0.2104166666666667</v>
      </c>
      <c r="F260" s="6">
        <f t="shared" si="13"/>
        <v>0.84</v>
      </c>
    </row>
    <row r="261" spans="1:6" x14ac:dyDescent="0.3">
      <c r="A261" s="4">
        <v>46039</v>
      </c>
      <c r="B261" s="1" t="s">
        <v>8</v>
      </c>
      <c r="C261" s="2">
        <v>0.31458333333333333</v>
      </c>
      <c r="D261" s="2">
        <v>0.78819444444444442</v>
      </c>
      <c r="E261" s="5">
        <f t="shared" si="12"/>
        <v>0.47361111111111109</v>
      </c>
      <c r="F261" s="6">
        <f t="shared" si="13"/>
        <v>1.89</v>
      </c>
    </row>
    <row r="262" spans="1:6" x14ac:dyDescent="0.3">
      <c r="A262" s="4">
        <v>46039</v>
      </c>
      <c r="B262" s="1" t="s">
        <v>51</v>
      </c>
      <c r="C262" s="2">
        <v>0.32500000000000001</v>
      </c>
      <c r="D262" s="2">
        <v>0.79305555555555551</v>
      </c>
      <c r="E262" s="5">
        <f t="shared" si="12"/>
        <v>0.4680555555555555</v>
      </c>
      <c r="F262" s="6">
        <f t="shared" si="13"/>
        <v>1.87</v>
      </c>
    </row>
    <row r="263" spans="1:6" x14ac:dyDescent="0.3">
      <c r="A263" s="4">
        <v>46039</v>
      </c>
      <c r="B263" s="1" t="s">
        <v>24</v>
      </c>
      <c r="C263" s="2">
        <v>0.32916666666666666</v>
      </c>
      <c r="D263" s="2">
        <v>0.56805555555555554</v>
      </c>
      <c r="E263" s="5">
        <f t="shared" si="12"/>
        <v>0.23888888888888887</v>
      </c>
      <c r="F263" s="6">
        <f t="shared" si="13"/>
        <v>0.96</v>
      </c>
    </row>
    <row r="264" spans="1:6" x14ac:dyDescent="0.3">
      <c r="A264" s="4">
        <v>46039</v>
      </c>
      <c r="B264" s="1" t="s">
        <v>47</v>
      </c>
      <c r="C264" s="2">
        <v>0.32916666666666666</v>
      </c>
      <c r="D264" s="2">
        <v>0.86041666666666672</v>
      </c>
      <c r="E264" s="5">
        <f t="shared" si="12"/>
        <v>0.53125</v>
      </c>
      <c r="F264" s="6">
        <f t="shared" si="13"/>
        <v>2.13</v>
      </c>
    </row>
    <row r="265" spans="1:6" x14ac:dyDescent="0.3">
      <c r="A265" s="4">
        <v>46039</v>
      </c>
      <c r="B265" s="1" t="s">
        <v>43</v>
      </c>
      <c r="C265" s="2">
        <v>46039.783333333333</v>
      </c>
      <c r="D265" s="2">
        <v>46040.306944444441</v>
      </c>
      <c r="E265" s="5">
        <f t="shared" si="12"/>
        <v>0.52361111110803904</v>
      </c>
      <c r="F265" s="6">
        <f t="shared" si="13"/>
        <v>2.09</v>
      </c>
    </row>
    <row r="266" spans="1:6" x14ac:dyDescent="0.3">
      <c r="A266" s="4">
        <v>46039</v>
      </c>
      <c r="B266" s="1" t="s">
        <v>31</v>
      </c>
      <c r="C266" s="2">
        <v>46039.783333333333</v>
      </c>
      <c r="D266" s="2">
        <v>46040.311111111114</v>
      </c>
      <c r="E266" s="5">
        <f t="shared" si="12"/>
        <v>0.52777777778101154</v>
      </c>
      <c r="F266" s="6">
        <f t="shared" si="13"/>
        <v>2.11</v>
      </c>
    </row>
    <row r="267" spans="1:6" x14ac:dyDescent="0.3">
      <c r="A267" s="4">
        <v>46039</v>
      </c>
      <c r="B267" s="1" t="s">
        <v>36</v>
      </c>
      <c r="C267" s="2">
        <v>0.79652777777777772</v>
      </c>
      <c r="D267" s="2">
        <v>0.84305555555555556</v>
      </c>
      <c r="E267" s="5">
        <f t="shared" si="12"/>
        <v>4.6527777777777835E-2</v>
      </c>
      <c r="F267" s="6">
        <f t="shared" si="13"/>
        <v>0.19</v>
      </c>
    </row>
    <row r="268" spans="1:6" x14ac:dyDescent="0.3">
      <c r="A268" s="4">
        <v>46039</v>
      </c>
      <c r="B268" s="1" t="s">
        <v>24</v>
      </c>
      <c r="C268" s="2">
        <v>0.66666666666666663</v>
      </c>
      <c r="D268" s="2">
        <v>0.79166666666666663</v>
      </c>
      <c r="E268" s="5">
        <f t="shared" si="12"/>
        <v>0.125</v>
      </c>
      <c r="F268" s="6">
        <f t="shared" si="13"/>
        <v>0.5</v>
      </c>
    </row>
    <row r="269" spans="1:6" x14ac:dyDescent="0.3">
      <c r="A269" s="4">
        <v>46040</v>
      </c>
      <c r="B269" s="1" t="s">
        <v>47</v>
      </c>
      <c r="C269" s="2">
        <v>0.27777777777777779</v>
      </c>
      <c r="D269" s="2">
        <v>0.62916666666666665</v>
      </c>
      <c r="E269" s="5">
        <f t="shared" si="12"/>
        <v>0.35138888888888886</v>
      </c>
      <c r="F269" s="6">
        <f t="shared" si="13"/>
        <v>1.41</v>
      </c>
    </row>
    <row r="270" spans="1:6" x14ac:dyDescent="0.3">
      <c r="A270" s="4">
        <v>46040</v>
      </c>
      <c r="B270" s="1" t="s">
        <v>52</v>
      </c>
      <c r="C270" s="2">
        <v>0.28888888888888886</v>
      </c>
      <c r="D270" s="2">
        <v>0.86527777777777781</v>
      </c>
      <c r="E270" s="5">
        <f t="shared" si="12"/>
        <v>0.57638888888888895</v>
      </c>
      <c r="F270" s="6">
        <f t="shared" si="13"/>
        <v>2.31</v>
      </c>
    </row>
    <row r="271" spans="1:6" x14ac:dyDescent="0.3">
      <c r="A271" s="4">
        <v>46040</v>
      </c>
      <c r="B271" s="1" t="s">
        <v>32</v>
      </c>
      <c r="C271" s="2">
        <v>0.29097222222222224</v>
      </c>
      <c r="D271" s="2">
        <v>0.8305555555555556</v>
      </c>
      <c r="E271" s="5">
        <f t="shared" si="12"/>
        <v>0.5395833333333333</v>
      </c>
      <c r="F271" s="6">
        <f t="shared" si="13"/>
        <v>2.16</v>
      </c>
    </row>
    <row r="272" spans="1:6" x14ac:dyDescent="0.3">
      <c r="A272" s="4">
        <v>46040</v>
      </c>
      <c r="B272" s="1" t="s">
        <v>41</v>
      </c>
      <c r="C272" s="2">
        <v>0.54166666666666663</v>
      </c>
      <c r="D272" s="2">
        <v>0.625</v>
      </c>
      <c r="E272" s="5">
        <f t="shared" si="12"/>
        <v>8.333333333333337E-2</v>
      </c>
      <c r="F272" s="6">
        <f t="shared" si="13"/>
        <v>0.33</v>
      </c>
    </row>
    <row r="273" spans="1:6" x14ac:dyDescent="0.3">
      <c r="A273" s="4">
        <v>46040</v>
      </c>
      <c r="B273" s="1" t="s">
        <v>5</v>
      </c>
      <c r="C273" s="2">
        <v>46040.789583333331</v>
      </c>
      <c r="D273" s="2">
        <v>46041.292361111111</v>
      </c>
      <c r="E273" s="5">
        <f t="shared" si="12"/>
        <v>0.50277777777955635</v>
      </c>
      <c r="F273" s="6">
        <f t="shared" si="13"/>
        <v>2.0099999999999998</v>
      </c>
    </row>
    <row r="274" spans="1:6" x14ac:dyDescent="0.3">
      <c r="A274" s="4">
        <v>46040</v>
      </c>
      <c r="B274" s="1" t="s">
        <v>46</v>
      </c>
      <c r="C274" s="2">
        <v>46040.797222222223</v>
      </c>
      <c r="D274" s="2">
        <v>46041.29583333333</v>
      </c>
      <c r="E274" s="5">
        <f t="shared" si="12"/>
        <v>0.49861111110658385</v>
      </c>
      <c r="F274" s="6">
        <f t="shared" si="13"/>
        <v>1.99</v>
      </c>
    </row>
    <row r="275" spans="1:6" x14ac:dyDescent="0.3">
      <c r="A275" s="4">
        <v>46040</v>
      </c>
      <c r="B275" s="1" t="s">
        <v>41</v>
      </c>
      <c r="C275" s="2">
        <v>0.82638888888888884</v>
      </c>
      <c r="D275" s="2">
        <v>0.86805555555555558</v>
      </c>
      <c r="E275" s="5">
        <f t="shared" si="12"/>
        <v>4.1666666666666741E-2</v>
      </c>
      <c r="F275" s="6">
        <f t="shared" si="13"/>
        <v>0.17</v>
      </c>
    </row>
    <row r="276" spans="1:6" x14ac:dyDescent="0.3">
      <c r="A276" s="4">
        <v>46041</v>
      </c>
      <c r="B276" s="1" t="s">
        <v>41</v>
      </c>
      <c r="C276" s="2">
        <v>0.25</v>
      </c>
      <c r="D276" s="2">
        <v>0.80972222222222223</v>
      </c>
      <c r="E276" s="5">
        <f t="shared" si="12"/>
        <v>0.55972222222222223</v>
      </c>
      <c r="F276" s="6">
        <f t="shared" si="13"/>
        <v>2.2400000000000002</v>
      </c>
    </row>
    <row r="277" spans="1:6" x14ac:dyDescent="0.3">
      <c r="A277" s="4">
        <v>46041</v>
      </c>
      <c r="B277" s="1" t="s">
        <v>32</v>
      </c>
      <c r="C277" s="2">
        <v>0.25208333333333333</v>
      </c>
      <c r="D277" s="2">
        <v>0.80347222222222225</v>
      </c>
      <c r="E277" s="5">
        <f t="shared" si="12"/>
        <v>0.55138888888888893</v>
      </c>
      <c r="F277" s="6">
        <f t="shared" si="13"/>
        <v>2.21</v>
      </c>
    </row>
    <row r="278" spans="1:6" x14ac:dyDescent="0.3">
      <c r="A278" s="4">
        <v>46041</v>
      </c>
      <c r="B278" s="1" t="s">
        <v>6</v>
      </c>
      <c r="C278" s="2">
        <v>0.28194444444444444</v>
      </c>
      <c r="D278" s="2">
        <v>0.7944444444444444</v>
      </c>
      <c r="E278" s="5">
        <f t="shared" si="12"/>
        <v>0.51249999999999996</v>
      </c>
      <c r="F278" s="6">
        <f t="shared" si="13"/>
        <v>2.0499999999999998</v>
      </c>
    </row>
    <row r="279" spans="1:6" x14ac:dyDescent="0.3">
      <c r="A279" s="4">
        <v>46041</v>
      </c>
      <c r="B279" s="1" t="s">
        <v>30</v>
      </c>
      <c r="C279" s="2">
        <v>0.28472222222222221</v>
      </c>
      <c r="D279" s="2">
        <v>0.79166666666666663</v>
      </c>
      <c r="E279" s="5">
        <f t="shared" si="12"/>
        <v>0.50694444444444442</v>
      </c>
      <c r="F279" s="6">
        <f t="shared" si="13"/>
        <v>2.0299999999999998</v>
      </c>
    </row>
    <row r="280" spans="1:6" x14ac:dyDescent="0.3">
      <c r="A280" s="4">
        <v>46041</v>
      </c>
      <c r="B280" s="1" t="s">
        <v>64</v>
      </c>
      <c r="C280" s="2">
        <v>0.28680555555555554</v>
      </c>
      <c r="D280" s="2">
        <v>0.68611111111111112</v>
      </c>
      <c r="E280" s="5">
        <f t="shared" si="12"/>
        <v>0.39930555555555558</v>
      </c>
      <c r="F280" s="6">
        <f t="shared" si="13"/>
        <v>1.6</v>
      </c>
    </row>
    <row r="281" spans="1:6" x14ac:dyDescent="0.3">
      <c r="A281" s="4">
        <v>46041</v>
      </c>
      <c r="B281" s="1" t="s">
        <v>29</v>
      </c>
      <c r="C281" s="2">
        <v>0.28680555555555554</v>
      </c>
      <c r="D281" s="2">
        <v>0.89097222222222228</v>
      </c>
      <c r="E281" s="5">
        <f t="shared" si="12"/>
        <v>0.60416666666666674</v>
      </c>
      <c r="F281" s="6">
        <f t="shared" si="13"/>
        <v>2.42</v>
      </c>
    </row>
    <row r="282" spans="1:6" x14ac:dyDescent="0.3">
      <c r="A282" s="4">
        <v>46041</v>
      </c>
      <c r="B282" s="1" t="s">
        <v>37</v>
      </c>
      <c r="C282" s="2">
        <v>0.28819444444444442</v>
      </c>
      <c r="D282" s="2">
        <v>0.68888888888888888</v>
      </c>
      <c r="E282" s="5">
        <f t="shared" si="12"/>
        <v>0.40069444444444446</v>
      </c>
      <c r="F282" s="6">
        <f t="shared" si="13"/>
        <v>1.6</v>
      </c>
    </row>
    <row r="283" spans="1:6" x14ac:dyDescent="0.3">
      <c r="A283" s="4">
        <v>46041</v>
      </c>
      <c r="B283" s="1" t="s">
        <v>38</v>
      </c>
      <c r="C283" s="2">
        <v>0.2902777777777778</v>
      </c>
      <c r="D283" s="2">
        <v>0.78125</v>
      </c>
      <c r="E283" s="5">
        <f t="shared" si="12"/>
        <v>0.4909722222222222</v>
      </c>
      <c r="F283" s="6">
        <f t="shared" si="13"/>
        <v>1.96</v>
      </c>
    </row>
    <row r="284" spans="1:6" x14ac:dyDescent="0.3">
      <c r="A284" s="4">
        <v>46041</v>
      </c>
      <c r="B284" s="1" t="s">
        <v>31</v>
      </c>
      <c r="C284" s="2">
        <v>0.29722222222222222</v>
      </c>
      <c r="D284" s="2">
        <v>0.7583333333333333</v>
      </c>
      <c r="E284" s="5">
        <f t="shared" si="12"/>
        <v>0.46111111111111108</v>
      </c>
      <c r="F284" s="6">
        <f t="shared" si="13"/>
        <v>1.84</v>
      </c>
    </row>
    <row r="285" spans="1:6" x14ac:dyDescent="0.3">
      <c r="A285" s="4">
        <v>46041</v>
      </c>
      <c r="B285" s="1" t="s">
        <v>35</v>
      </c>
      <c r="C285" s="2">
        <v>0.31319444444444444</v>
      </c>
      <c r="D285" s="2">
        <v>0.80138888888888893</v>
      </c>
      <c r="E285" s="5">
        <f t="shared" si="12"/>
        <v>0.48819444444444449</v>
      </c>
      <c r="F285" s="6">
        <f t="shared" si="13"/>
        <v>1.95</v>
      </c>
    </row>
    <row r="286" spans="1:6" x14ac:dyDescent="0.3">
      <c r="A286" s="4">
        <v>46041</v>
      </c>
      <c r="B286" s="1" t="s">
        <v>24</v>
      </c>
      <c r="C286" s="2">
        <v>0.31388888888888888</v>
      </c>
      <c r="D286" s="2">
        <v>0.90138888888888891</v>
      </c>
      <c r="E286" s="5">
        <f t="shared" si="12"/>
        <v>0.58750000000000002</v>
      </c>
      <c r="F286" s="6">
        <f t="shared" si="13"/>
        <v>2.35</v>
      </c>
    </row>
    <row r="287" spans="1:6" x14ac:dyDescent="0.3">
      <c r="A287" s="4">
        <v>46041</v>
      </c>
      <c r="B287" s="1" t="s">
        <v>27</v>
      </c>
      <c r="C287" s="2">
        <v>46041.317361111112</v>
      </c>
      <c r="D287" s="2">
        <v>46042.009722222225</v>
      </c>
      <c r="E287" s="5">
        <f t="shared" si="12"/>
        <v>0.69236111111240461</v>
      </c>
      <c r="F287" s="6">
        <f t="shared" si="13"/>
        <v>2.77</v>
      </c>
    </row>
    <row r="288" spans="1:6" x14ac:dyDescent="0.3">
      <c r="A288" s="4">
        <v>46041</v>
      </c>
      <c r="B288" s="1" t="s">
        <v>45</v>
      </c>
      <c r="C288" s="2">
        <v>0.31944444444444442</v>
      </c>
      <c r="D288" s="2">
        <v>0.89861111111111114</v>
      </c>
      <c r="E288" s="5">
        <f t="shared" si="12"/>
        <v>0.57916666666666672</v>
      </c>
      <c r="F288" s="6">
        <f t="shared" si="13"/>
        <v>2.3199999999999998</v>
      </c>
    </row>
    <row r="289" spans="1:6" x14ac:dyDescent="0.3">
      <c r="A289" s="4">
        <v>46041</v>
      </c>
      <c r="B289" s="1" t="s">
        <v>23</v>
      </c>
      <c r="C289" s="2">
        <v>0.33611111111111114</v>
      </c>
      <c r="D289" s="2">
        <v>0.80763888888888891</v>
      </c>
      <c r="E289" s="5">
        <f t="shared" si="12"/>
        <v>0.47152777777777777</v>
      </c>
      <c r="F289" s="6">
        <f t="shared" si="13"/>
        <v>1.89</v>
      </c>
    </row>
    <row r="290" spans="1:6" x14ac:dyDescent="0.3">
      <c r="A290" s="4">
        <v>46041</v>
      </c>
      <c r="B290" s="1" t="s">
        <v>39</v>
      </c>
      <c r="C290" s="2">
        <v>0.33611111111111114</v>
      </c>
      <c r="D290" s="2">
        <v>0.79305555555555551</v>
      </c>
      <c r="E290" s="5">
        <f t="shared" si="12"/>
        <v>0.45694444444444438</v>
      </c>
      <c r="F290" s="6">
        <f t="shared" si="13"/>
        <v>1.83</v>
      </c>
    </row>
    <row r="291" spans="1:6" x14ac:dyDescent="0.3">
      <c r="A291" s="4">
        <v>46041</v>
      </c>
      <c r="B291" s="1" t="s">
        <v>26</v>
      </c>
      <c r="C291" s="2">
        <v>0.34375</v>
      </c>
      <c r="D291" s="2">
        <v>0.41319444444444442</v>
      </c>
      <c r="E291" s="5">
        <f t="shared" si="12"/>
        <v>6.944444444444442E-2</v>
      </c>
      <c r="F291" s="6">
        <f t="shared" si="13"/>
        <v>0.28000000000000003</v>
      </c>
    </row>
    <row r="292" spans="1:6" x14ac:dyDescent="0.3">
      <c r="A292" s="4">
        <v>46041</v>
      </c>
      <c r="B292" s="1" t="s">
        <v>40</v>
      </c>
      <c r="C292" s="2">
        <v>46041.793749999997</v>
      </c>
      <c r="D292" s="2">
        <v>46042.343055555553</v>
      </c>
      <c r="E292" s="5">
        <f t="shared" si="12"/>
        <v>0.54930555555620231</v>
      </c>
      <c r="F292" s="6">
        <f t="shared" si="13"/>
        <v>2.2000000000000002</v>
      </c>
    </row>
    <row r="293" spans="1:6" x14ac:dyDescent="0.3">
      <c r="A293" s="4">
        <v>46041</v>
      </c>
      <c r="B293" s="1" t="s">
        <v>7</v>
      </c>
      <c r="C293" s="2">
        <v>46041.793749999997</v>
      </c>
      <c r="D293" s="2">
        <v>46042.305555555555</v>
      </c>
      <c r="E293" s="5">
        <f t="shared" si="12"/>
        <v>0.5118055555576575</v>
      </c>
      <c r="F293" s="6">
        <f t="shared" si="13"/>
        <v>2.0499999999999998</v>
      </c>
    </row>
    <row r="294" spans="1:6" x14ac:dyDescent="0.3">
      <c r="A294" s="4">
        <v>46042</v>
      </c>
      <c r="B294" s="1" t="s">
        <v>47</v>
      </c>
      <c r="C294" s="2">
        <v>0.24236111111111111</v>
      </c>
      <c r="D294" s="2">
        <v>0.73819444444444449</v>
      </c>
      <c r="E294" s="5">
        <f t="shared" si="12"/>
        <v>0.49583333333333335</v>
      </c>
      <c r="F294" s="6">
        <f t="shared" si="13"/>
        <v>1.98</v>
      </c>
    </row>
    <row r="295" spans="1:6" x14ac:dyDescent="0.3">
      <c r="A295" s="4">
        <v>46042</v>
      </c>
      <c r="B295" s="1" t="s">
        <v>26</v>
      </c>
      <c r="C295" s="2">
        <v>0.24722222222222223</v>
      </c>
      <c r="D295" s="2">
        <v>0.70694444444444449</v>
      </c>
      <c r="E295" s="5">
        <f t="shared" si="12"/>
        <v>0.45972222222222225</v>
      </c>
      <c r="F295" s="6">
        <f t="shared" si="13"/>
        <v>1.84</v>
      </c>
    </row>
    <row r="296" spans="1:6" x14ac:dyDescent="0.3">
      <c r="A296" s="4">
        <v>46042</v>
      </c>
      <c r="B296" s="1" t="s">
        <v>35</v>
      </c>
      <c r="C296" s="2">
        <v>0.25</v>
      </c>
      <c r="D296" s="2">
        <v>0.56180555555555556</v>
      </c>
      <c r="E296" s="5">
        <f t="shared" si="12"/>
        <v>0.31180555555555556</v>
      </c>
      <c r="F296" s="6">
        <f t="shared" si="13"/>
        <v>1.25</v>
      </c>
    </row>
    <row r="297" spans="1:6" x14ac:dyDescent="0.3">
      <c r="A297" s="4">
        <v>46042</v>
      </c>
      <c r="B297" s="1" t="s">
        <v>31</v>
      </c>
      <c r="C297" s="2">
        <v>0.27708333333333335</v>
      </c>
      <c r="D297" s="2">
        <v>0.74027777777777781</v>
      </c>
      <c r="E297" s="5">
        <f t="shared" si="12"/>
        <v>0.46319444444444446</v>
      </c>
      <c r="F297" s="6">
        <f t="shared" si="13"/>
        <v>1.85</v>
      </c>
    </row>
    <row r="298" spans="1:6" x14ac:dyDescent="0.3">
      <c r="A298" s="4">
        <v>46042</v>
      </c>
      <c r="B298" s="1" t="s">
        <v>8</v>
      </c>
      <c r="C298" s="2">
        <v>0.28888888888888886</v>
      </c>
      <c r="D298" s="2">
        <v>0.73124999999999996</v>
      </c>
      <c r="E298" s="5">
        <f t="shared" si="12"/>
        <v>0.44236111111111109</v>
      </c>
      <c r="F298" s="6">
        <f t="shared" si="13"/>
        <v>1.77</v>
      </c>
    </row>
    <row r="299" spans="1:6" x14ac:dyDescent="0.3">
      <c r="A299" s="4">
        <v>46042</v>
      </c>
      <c r="B299" s="1" t="s">
        <v>28</v>
      </c>
      <c r="C299" s="2">
        <v>0.30208333333333331</v>
      </c>
      <c r="D299" s="2">
        <v>0.8041666666666667</v>
      </c>
      <c r="E299" s="5">
        <f t="shared" si="12"/>
        <v>0.50208333333333344</v>
      </c>
      <c r="F299" s="6">
        <f t="shared" si="13"/>
        <v>2.0099999999999998</v>
      </c>
    </row>
    <row r="300" spans="1:6" x14ac:dyDescent="0.3">
      <c r="A300" s="4">
        <v>46042</v>
      </c>
      <c r="B300" s="1" t="s">
        <v>33</v>
      </c>
      <c r="C300" s="2">
        <v>0.30416666666666664</v>
      </c>
      <c r="D300" s="2">
        <v>0.72083333333333333</v>
      </c>
      <c r="E300" s="5">
        <f t="shared" si="12"/>
        <v>0.41666666666666669</v>
      </c>
      <c r="F300" s="6">
        <f t="shared" si="13"/>
        <v>1.67</v>
      </c>
    </row>
    <row r="301" spans="1:6" x14ac:dyDescent="0.3">
      <c r="A301" s="4">
        <v>46042</v>
      </c>
      <c r="B301" s="1" t="s">
        <v>34</v>
      </c>
      <c r="C301" s="2">
        <v>0.30833333333333335</v>
      </c>
      <c r="D301" s="2">
        <v>0.73819444444444449</v>
      </c>
      <c r="E301" s="5">
        <f t="shared" si="12"/>
        <v>0.42986111111111114</v>
      </c>
      <c r="F301" s="6">
        <f t="shared" si="13"/>
        <v>1.72</v>
      </c>
    </row>
    <row r="302" spans="1:6" x14ac:dyDescent="0.3">
      <c r="A302" s="4">
        <v>46042</v>
      </c>
      <c r="B302" s="1" t="s">
        <v>36</v>
      </c>
      <c r="C302" s="2">
        <v>0.31388888888888888</v>
      </c>
      <c r="D302" s="2">
        <v>0.70138888888888884</v>
      </c>
      <c r="E302" s="5">
        <f t="shared" si="12"/>
        <v>0.38749999999999996</v>
      </c>
      <c r="F302" s="6">
        <f t="shared" si="13"/>
        <v>1.55</v>
      </c>
    </row>
    <row r="303" spans="1:6" x14ac:dyDescent="0.3">
      <c r="A303" s="4">
        <v>46042</v>
      </c>
      <c r="B303" s="1" t="s">
        <v>63</v>
      </c>
      <c r="C303" s="2">
        <v>0.31388888888888888</v>
      </c>
      <c r="D303" s="2">
        <v>0.81527777777777777</v>
      </c>
      <c r="E303" s="5">
        <f t="shared" si="12"/>
        <v>0.50138888888888888</v>
      </c>
      <c r="F303" s="6">
        <f t="shared" si="13"/>
        <v>2.0099999999999998</v>
      </c>
    </row>
    <row r="304" spans="1:6" x14ac:dyDescent="0.3">
      <c r="A304" s="4">
        <v>46042</v>
      </c>
      <c r="B304" s="1" t="s">
        <v>38</v>
      </c>
      <c r="C304" s="2">
        <v>0.31666666666666665</v>
      </c>
      <c r="D304" s="2">
        <v>0.81319444444444444</v>
      </c>
      <c r="E304" s="5">
        <f t="shared" si="12"/>
        <v>0.49652777777777779</v>
      </c>
      <c r="F304" s="6">
        <f t="shared" si="13"/>
        <v>1.99</v>
      </c>
    </row>
    <row r="305" spans="1:6" x14ac:dyDescent="0.3">
      <c r="A305" s="4">
        <v>46042</v>
      </c>
      <c r="B305" s="1" t="s">
        <v>29</v>
      </c>
      <c r="C305" s="2">
        <v>0.31944444444444442</v>
      </c>
      <c r="D305" s="2">
        <v>0.7270833333333333</v>
      </c>
      <c r="E305" s="5">
        <f t="shared" si="12"/>
        <v>0.40763888888888888</v>
      </c>
      <c r="F305" s="6">
        <f t="shared" si="13"/>
        <v>1.63</v>
      </c>
    </row>
    <row r="306" spans="1:6" x14ac:dyDescent="0.3">
      <c r="A306" s="4">
        <v>46042</v>
      </c>
      <c r="B306" s="1" t="s">
        <v>39</v>
      </c>
      <c r="C306" s="2">
        <v>0.38124999999999998</v>
      </c>
      <c r="D306" s="2">
        <v>0.79722222222222228</v>
      </c>
      <c r="E306" s="5">
        <f t="shared" si="12"/>
        <v>0.4159722222222223</v>
      </c>
      <c r="F306" s="6">
        <f t="shared" si="13"/>
        <v>1.66</v>
      </c>
    </row>
    <row r="307" spans="1:6" x14ac:dyDescent="0.3">
      <c r="A307" s="4">
        <v>46042</v>
      </c>
      <c r="B307" s="1" t="s">
        <v>23</v>
      </c>
      <c r="C307" s="2">
        <v>0.35416666666666669</v>
      </c>
      <c r="D307" s="2">
        <v>0.78194444444444444</v>
      </c>
      <c r="E307" s="5">
        <f t="shared" si="12"/>
        <v>0.42777777777777776</v>
      </c>
      <c r="F307" s="6">
        <f t="shared" si="13"/>
        <v>1.71</v>
      </c>
    </row>
    <row r="308" spans="1:6" x14ac:dyDescent="0.3">
      <c r="A308" s="4">
        <v>46042</v>
      </c>
      <c r="B308" s="1" t="s">
        <v>45</v>
      </c>
      <c r="C308" s="2">
        <v>46042.79583333333</v>
      </c>
      <c r="D308" s="2">
        <v>46043.300694444442</v>
      </c>
      <c r="E308" s="5">
        <f t="shared" si="12"/>
        <v>0.50486111111240461</v>
      </c>
      <c r="F308" s="6">
        <f t="shared" si="13"/>
        <v>2.02</v>
      </c>
    </row>
    <row r="309" spans="1:6" x14ac:dyDescent="0.3">
      <c r="A309" s="4">
        <v>46042</v>
      </c>
      <c r="B309" s="1" t="s">
        <v>4</v>
      </c>
      <c r="C309" s="2">
        <v>46042.804166666669</v>
      </c>
      <c r="D309" s="2">
        <v>46043.303472222222</v>
      </c>
      <c r="E309" s="5">
        <f t="shared" si="12"/>
        <v>0.49930555555329192</v>
      </c>
      <c r="F309" s="6">
        <f t="shared" si="13"/>
        <v>2</v>
      </c>
    </row>
    <row r="310" spans="1:6" x14ac:dyDescent="0.3">
      <c r="A310" s="4">
        <v>46042</v>
      </c>
      <c r="B310" s="1" t="s">
        <v>32</v>
      </c>
      <c r="C310" s="2">
        <v>0.29166666666666669</v>
      </c>
      <c r="D310" s="2">
        <v>0.81527777777777777</v>
      </c>
      <c r="E310" s="5">
        <f t="shared" si="12"/>
        <v>0.52361111111111103</v>
      </c>
      <c r="F310" s="6">
        <f t="shared" si="13"/>
        <v>2.09</v>
      </c>
    </row>
    <row r="311" spans="1:6" x14ac:dyDescent="0.3">
      <c r="A311" s="4">
        <v>46043</v>
      </c>
      <c r="B311" s="1" t="s">
        <v>8</v>
      </c>
      <c r="C311" s="2">
        <v>0.22777777777777777</v>
      </c>
      <c r="D311" s="2">
        <v>0.71388888888888891</v>
      </c>
      <c r="E311" s="5">
        <f t="shared" si="12"/>
        <v>0.48611111111111116</v>
      </c>
      <c r="F311" s="6">
        <f t="shared" si="13"/>
        <v>1.94</v>
      </c>
    </row>
    <row r="312" spans="1:6" x14ac:dyDescent="0.3">
      <c r="A312" s="4">
        <v>46043</v>
      </c>
      <c r="B312" s="1" t="s">
        <v>6</v>
      </c>
      <c r="C312" s="2">
        <v>0.23333333333333334</v>
      </c>
      <c r="D312" s="2">
        <v>0.85833333333333328</v>
      </c>
      <c r="E312" s="5">
        <f t="shared" si="12"/>
        <v>0.625</v>
      </c>
      <c r="F312" s="6">
        <f t="shared" si="13"/>
        <v>2.5</v>
      </c>
    </row>
    <row r="313" spans="1:6" x14ac:dyDescent="0.3">
      <c r="A313" s="4">
        <v>46043</v>
      </c>
      <c r="B313" s="1" t="s">
        <v>31</v>
      </c>
      <c r="C313" s="2">
        <v>0.2388888888888889</v>
      </c>
      <c r="D313" s="2">
        <v>0.7</v>
      </c>
      <c r="E313" s="5">
        <f t="shared" si="12"/>
        <v>0.46111111111111103</v>
      </c>
      <c r="F313" s="6">
        <f t="shared" si="13"/>
        <v>1.84</v>
      </c>
    </row>
    <row r="314" spans="1:6" x14ac:dyDescent="0.3">
      <c r="A314" s="4">
        <v>46043</v>
      </c>
      <c r="B314" s="1" t="s">
        <v>7</v>
      </c>
      <c r="C314" s="2">
        <v>0.27777777777777779</v>
      </c>
      <c r="D314" s="2">
        <v>0.66666666666666663</v>
      </c>
      <c r="E314" s="5">
        <f t="shared" si="12"/>
        <v>0.38888888888888884</v>
      </c>
      <c r="F314" s="6">
        <f t="shared" si="13"/>
        <v>1.56</v>
      </c>
    </row>
    <row r="315" spans="1:6" x14ac:dyDescent="0.3">
      <c r="A315" s="4">
        <v>46043</v>
      </c>
      <c r="B315" s="1" t="s">
        <v>47</v>
      </c>
      <c r="C315" s="2">
        <v>0.28402777777777777</v>
      </c>
      <c r="D315" s="2">
        <v>0.92847222222222225</v>
      </c>
      <c r="E315" s="5">
        <f t="shared" si="12"/>
        <v>0.64444444444444449</v>
      </c>
      <c r="F315" s="6">
        <f t="shared" si="13"/>
        <v>2.58</v>
      </c>
    </row>
    <row r="316" spans="1:6" x14ac:dyDescent="0.3">
      <c r="A316" s="4">
        <v>46043</v>
      </c>
      <c r="B316" s="1" t="s">
        <v>35</v>
      </c>
      <c r="C316" s="2">
        <v>0.28472222222222221</v>
      </c>
      <c r="D316" s="2">
        <v>0.92361111111111116</v>
      </c>
      <c r="E316" s="5">
        <f t="shared" si="12"/>
        <v>0.63888888888888895</v>
      </c>
      <c r="F316" s="6">
        <f t="shared" si="13"/>
        <v>2.56</v>
      </c>
    </row>
    <row r="317" spans="1:6" x14ac:dyDescent="0.3">
      <c r="A317" s="4">
        <v>46043</v>
      </c>
      <c r="B317" s="1" t="s">
        <v>40</v>
      </c>
      <c r="C317" s="2">
        <v>0.29375000000000001</v>
      </c>
      <c r="D317" s="2">
        <v>0.35555555555555557</v>
      </c>
      <c r="E317" s="5">
        <f t="shared" si="12"/>
        <v>6.1805555555555558E-2</v>
      </c>
      <c r="F317" s="6">
        <f t="shared" si="13"/>
        <v>0.25</v>
      </c>
    </row>
    <row r="318" spans="1:6" x14ac:dyDescent="0.3">
      <c r="A318" s="4">
        <v>46043</v>
      </c>
      <c r="B318" s="1" t="s">
        <v>28</v>
      </c>
      <c r="C318" s="2">
        <v>0.2951388888888889</v>
      </c>
      <c r="D318" s="2">
        <v>0.81041666666666667</v>
      </c>
      <c r="E318" s="5">
        <f t="shared" si="12"/>
        <v>0.51527777777777772</v>
      </c>
      <c r="F318" s="6">
        <f t="shared" si="13"/>
        <v>2.06</v>
      </c>
    </row>
    <row r="319" spans="1:6" x14ac:dyDescent="0.3">
      <c r="A319" s="4">
        <v>46043</v>
      </c>
      <c r="B319" s="1" t="s">
        <v>41</v>
      </c>
      <c r="C319" s="2">
        <v>0.29791666666666666</v>
      </c>
      <c r="D319" s="2">
        <v>0.72986111111111107</v>
      </c>
      <c r="E319" s="5">
        <f t="shared" si="12"/>
        <v>0.43194444444444441</v>
      </c>
      <c r="F319" s="6">
        <f t="shared" si="13"/>
        <v>1.73</v>
      </c>
    </row>
    <row r="320" spans="1:6" x14ac:dyDescent="0.3">
      <c r="A320" s="4">
        <v>46043</v>
      </c>
      <c r="B320" s="1" t="s">
        <v>32</v>
      </c>
      <c r="C320" s="2">
        <v>0.29930555555555555</v>
      </c>
      <c r="D320" s="2">
        <v>0.78125</v>
      </c>
      <c r="E320" s="5">
        <f t="shared" si="12"/>
        <v>0.48194444444444445</v>
      </c>
      <c r="F320" s="6">
        <f t="shared" si="13"/>
        <v>1.93</v>
      </c>
    </row>
    <row r="321" spans="1:6" x14ac:dyDescent="0.3">
      <c r="A321" s="4">
        <v>46043</v>
      </c>
      <c r="B321" s="1" t="s">
        <v>37</v>
      </c>
      <c r="C321" s="2">
        <v>0.3125</v>
      </c>
      <c r="D321" s="2">
        <v>0.73750000000000004</v>
      </c>
      <c r="E321" s="5">
        <f t="shared" si="12"/>
        <v>0.42500000000000004</v>
      </c>
      <c r="F321" s="6">
        <f t="shared" si="13"/>
        <v>1.7</v>
      </c>
    </row>
    <row r="322" spans="1:6" x14ac:dyDescent="0.3">
      <c r="A322" s="4">
        <v>46043</v>
      </c>
      <c r="B322" s="1" t="s">
        <v>27</v>
      </c>
      <c r="C322" s="2">
        <v>0.31458333333333333</v>
      </c>
      <c r="D322" s="2">
        <v>0.79374999999999996</v>
      </c>
      <c r="E322" s="5">
        <f t="shared" si="12"/>
        <v>0.47916666666666663</v>
      </c>
      <c r="F322" s="6">
        <f t="shared" si="13"/>
        <v>1.92</v>
      </c>
    </row>
    <row r="323" spans="1:6" x14ac:dyDescent="0.3">
      <c r="A323" s="4">
        <v>46043</v>
      </c>
      <c r="B323" s="1" t="s">
        <v>63</v>
      </c>
      <c r="C323" s="2">
        <v>0.3215277777777778</v>
      </c>
      <c r="D323" s="2">
        <v>0.56944444444444442</v>
      </c>
      <c r="E323" s="5">
        <f t="shared" ref="E323:E386" si="14">D323-C323</f>
        <v>0.24791666666666662</v>
      </c>
      <c r="F323" s="6">
        <f t="shared" ref="F323:F386" si="15">ROUND(VALUE(E323)*4,2)</f>
        <v>0.99</v>
      </c>
    </row>
    <row r="324" spans="1:6" x14ac:dyDescent="0.3">
      <c r="A324" s="4">
        <v>46043</v>
      </c>
      <c r="B324" s="1" t="s">
        <v>39</v>
      </c>
      <c r="C324" s="2">
        <v>0.37638888888888888</v>
      </c>
      <c r="D324" s="2">
        <v>0.79513888888888884</v>
      </c>
      <c r="E324" s="5">
        <f t="shared" si="14"/>
        <v>0.41874999999999996</v>
      </c>
      <c r="F324" s="6">
        <f t="shared" si="15"/>
        <v>1.68</v>
      </c>
    </row>
    <row r="325" spans="1:6" x14ac:dyDescent="0.3">
      <c r="A325" s="4">
        <v>46043</v>
      </c>
      <c r="B325" s="1" t="s">
        <v>30</v>
      </c>
      <c r="C325" s="2">
        <v>0.37708333333333333</v>
      </c>
      <c r="D325" s="2">
        <v>0.75</v>
      </c>
      <c r="E325" s="5">
        <f t="shared" si="14"/>
        <v>0.37291666666666667</v>
      </c>
      <c r="F325" s="6">
        <f t="shared" si="15"/>
        <v>1.49</v>
      </c>
    </row>
    <row r="326" spans="1:6" x14ac:dyDescent="0.3">
      <c r="A326" s="4">
        <v>46043</v>
      </c>
      <c r="B326" s="1" t="s">
        <v>51</v>
      </c>
      <c r="C326" s="2">
        <v>0.39097222222222222</v>
      </c>
      <c r="D326" s="2">
        <v>0.79513888888888884</v>
      </c>
      <c r="E326" s="5">
        <f t="shared" si="14"/>
        <v>0.40416666666666662</v>
      </c>
      <c r="F326" s="6">
        <f t="shared" si="15"/>
        <v>1.62</v>
      </c>
    </row>
    <row r="327" spans="1:6" x14ac:dyDescent="0.3">
      <c r="A327" s="4">
        <v>46043</v>
      </c>
      <c r="B327" s="1" t="s">
        <v>44</v>
      </c>
      <c r="C327" s="2">
        <v>46043.784722222219</v>
      </c>
      <c r="D327" s="2">
        <v>46044.304861111108</v>
      </c>
      <c r="E327" s="5">
        <f t="shared" si="14"/>
        <v>0.52013888888905058</v>
      </c>
      <c r="F327" s="6">
        <f t="shared" si="15"/>
        <v>2.08</v>
      </c>
    </row>
    <row r="328" spans="1:6" x14ac:dyDescent="0.3">
      <c r="A328" s="4">
        <v>46043</v>
      </c>
      <c r="B328" s="1" t="s">
        <v>5</v>
      </c>
      <c r="C328" s="2">
        <v>46043.8</v>
      </c>
      <c r="D328" s="2">
        <v>46044.317361111112</v>
      </c>
      <c r="E328" s="5">
        <f t="shared" si="14"/>
        <v>0.51736111110949423</v>
      </c>
      <c r="F328" s="6">
        <f t="shared" si="15"/>
        <v>2.0699999999999998</v>
      </c>
    </row>
    <row r="329" spans="1:6" x14ac:dyDescent="0.3">
      <c r="A329" s="4">
        <v>46043</v>
      </c>
      <c r="B329" s="1" t="s">
        <v>26</v>
      </c>
      <c r="C329" s="2">
        <v>0.3125</v>
      </c>
      <c r="D329" s="2">
        <v>0.80208333333333337</v>
      </c>
      <c r="E329" s="5">
        <f t="shared" si="14"/>
        <v>0.48958333333333337</v>
      </c>
      <c r="F329" s="6">
        <f t="shared" si="15"/>
        <v>1.96</v>
      </c>
    </row>
    <row r="330" spans="1:6" x14ac:dyDescent="0.3">
      <c r="A330" s="4">
        <v>46044</v>
      </c>
      <c r="B330" s="1" t="s">
        <v>8</v>
      </c>
      <c r="C330" s="2">
        <v>0.24027777777777778</v>
      </c>
      <c r="D330" s="2">
        <v>0.80069444444444449</v>
      </c>
      <c r="E330" s="5">
        <f t="shared" si="14"/>
        <v>0.56041666666666667</v>
      </c>
      <c r="F330" s="6">
        <f t="shared" si="15"/>
        <v>2.2400000000000002</v>
      </c>
    </row>
    <row r="331" spans="1:6" x14ac:dyDescent="0.3">
      <c r="A331" s="4">
        <v>46044</v>
      </c>
      <c r="B331" s="1" t="s">
        <v>45</v>
      </c>
      <c r="C331" s="2">
        <v>0.24444444444444444</v>
      </c>
      <c r="D331" s="2">
        <v>0.4861111111111111</v>
      </c>
      <c r="E331" s="5">
        <f t="shared" si="14"/>
        <v>0.24166666666666667</v>
      </c>
      <c r="F331" s="6">
        <f t="shared" si="15"/>
        <v>0.97</v>
      </c>
    </row>
    <row r="332" spans="1:6" x14ac:dyDescent="0.3">
      <c r="A332" s="4">
        <v>46044</v>
      </c>
      <c r="B332" s="1" t="s">
        <v>35</v>
      </c>
      <c r="C332" s="2">
        <v>0.24513888888888888</v>
      </c>
      <c r="D332" s="2">
        <v>0.71250000000000002</v>
      </c>
      <c r="E332" s="5">
        <f t="shared" si="14"/>
        <v>0.46736111111111112</v>
      </c>
      <c r="F332" s="6">
        <f t="shared" si="15"/>
        <v>1.87</v>
      </c>
    </row>
    <row r="333" spans="1:6" x14ac:dyDescent="0.3">
      <c r="A333" s="4">
        <v>46044</v>
      </c>
      <c r="B333" s="1" t="s">
        <v>36</v>
      </c>
      <c r="C333" s="2">
        <v>0.24722222222222223</v>
      </c>
      <c r="D333" s="2">
        <v>0.86388888888888893</v>
      </c>
      <c r="E333" s="5">
        <f t="shared" si="14"/>
        <v>0.6166666666666667</v>
      </c>
      <c r="F333" s="6">
        <f t="shared" si="15"/>
        <v>2.4700000000000002</v>
      </c>
    </row>
    <row r="334" spans="1:6" x14ac:dyDescent="0.3">
      <c r="A334" s="4">
        <v>46044</v>
      </c>
      <c r="B334" s="1" t="s">
        <v>26</v>
      </c>
      <c r="C334" s="2">
        <v>0.25069444444444444</v>
      </c>
      <c r="D334" s="2">
        <v>0.71805555555555556</v>
      </c>
      <c r="E334" s="5">
        <f t="shared" si="14"/>
        <v>0.46736111111111112</v>
      </c>
      <c r="F334" s="6">
        <f t="shared" si="15"/>
        <v>1.87</v>
      </c>
    </row>
    <row r="335" spans="1:6" x14ac:dyDescent="0.3">
      <c r="A335" s="4">
        <v>46044</v>
      </c>
      <c r="B335" s="1" t="s">
        <v>40</v>
      </c>
      <c r="C335" s="2">
        <v>0.25208333333333333</v>
      </c>
      <c r="D335" s="2">
        <v>0.57986111111111116</v>
      </c>
      <c r="E335" s="5">
        <f t="shared" si="14"/>
        <v>0.32777777777777783</v>
      </c>
      <c r="F335" s="6">
        <f t="shared" si="15"/>
        <v>1.31</v>
      </c>
    </row>
    <row r="336" spans="1:6" x14ac:dyDescent="0.3">
      <c r="A336" s="4">
        <v>46044</v>
      </c>
      <c r="B336" s="1" t="s">
        <v>32</v>
      </c>
      <c r="C336" s="2">
        <v>0.27569444444444446</v>
      </c>
      <c r="D336" s="2">
        <v>0.44374999999999998</v>
      </c>
      <c r="E336" s="5">
        <f t="shared" si="14"/>
        <v>0.16805555555555551</v>
      </c>
      <c r="F336" s="6">
        <f t="shared" si="15"/>
        <v>0.67</v>
      </c>
    </row>
    <row r="337" spans="1:6" x14ac:dyDescent="0.3">
      <c r="A337" s="4">
        <v>46044</v>
      </c>
      <c r="B337" s="1" t="s">
        <v>29</v>
      </c>
      <c r="C337" s="2">
        <v>0.28749999999999998</v>
      </c>
      <c r="D337" s="2">
        <v>0.8125</v>
      </c>
      <c r="E337" s="5">
        <f t="shared" si="14"/>
        <v>0.52500000000000002</v>
      </c>
      <c r="F337" s="6">
        <f t="shared" si="15"/>
        <v>2.1</v>
      </c>
    </row>
    <row r="338" spans="1:6" x14ac:dyDescent="0.3">
      <c r="A338" s="4">
        <v>46044</v>
      </c>
      <c r="B338" s="1" t="s">
        <v>28</v>
      </c>
      <c r="C338" s="2">
        <v>0.29583333333333334</v>
      </c>
      <c r="D338" s="2">
        <v>0.61388888888888893</v>
      </c>
      <c r="E338" s="5">
        <f t="shared" si="14"/>
        <v>0.31805555555555559</v>
      </c>
      <c r="F338" s="6">
        <f t="shared" si="15"/>
        <v>1.27</v>
      </c>
    </row>
    <row r="339" spans="1:6" x14ac:dyDescent="0.3">
      <c r="A339" s="4">
        <v>46044</v>
      </c>
      <c r="B339" s="1" t="s">
        <v>34</v>
      </c>
      <c r="C339" s="2">
        <v>0.29791666666666666</v>
      </c>
      <c r="D339" s="2">
        <v>0.74861111111111112</v>
      </c>
      <c r="E339" s="5">
        <f t="shared" si="14"/>
        <v>0.45069444444444445</v>
      </c>
      <c r="F339" s="6">
        <f t="shared" si="15"/>
        <v>1.8</v>
      </c>
    </row>
    <row r="340" spans="1:6" x14ac:dyDescent="0.3">
      <c r="A340" s="4">
        <v>46044</v>
      </c>
      <c r="B340" s="1" t="s">
        <v>25</v>
      </c>
      <c r="C340" s="2">
        <v>0.30277777777777776</v>
      </c>
      <c r="D340" s="2">
        <v>0.7319444444444444</v>
      </c>
      <c r="E340" s="5">
        <f t="shared" si="14"/>
        <v>0.42916666666666664</v>
      </c>
      <c r="F340" s="6">
        <f t="shared" si="15"/>
        <v>1.72</v>
      </c>
    </row>
    <row r="341" spans="1:6" x14ac:dyDescent="0.3">
      <c r="A341" s="4">
        <v>46044</v>
      </c>
      <c r="B341" s="1" t="s">
        <v>33</v>
      </c>
      <c r="C341" s="2">
        <v>0.30277777777777776</v>
      </c>
      <c r="D341" s="2">
        <v>0.71458333333333335</v>
      </c>
      <c r="E341" s="5">
        <f t="shared" si="14"/>
        <v>0.41180555555555559</v>
      </c>
      <c r="F341" s="6">
        <f t="shared" si="15"/>
        <v>1.65</v>
      </c>
    </row>
    <row r="342" spans="1:6" x14ac:dyDescent="0.3">
      <c r="A342" s="4">
        <v>46044</v>
      </c>
      <c r="B342" s="1" t="s">
        <v>4</v>
      </c>
      <c r="C342" s="2">
        <v>0.31180555555555556</v>
      </c>
      <c r="D342" s="2">
        <v>0.81597222222222221</v>
      </c>
      <c r="E342" s="5">
        <f t="shared" si="14"/>
        <v>0.50416666666666665</v>
      </c>
      <c r="F342" s="6">
        <f t="shared" si="15"/>
        <v>2.02</v>
      </c>
    </row>
    <row r="343" spans="1:6" x14ac:dyDescent="0.3">
      <c r="A343" s="4">
        <v>46044</v>
      </c>
      <c r="B343" s="1" t="s">
        <v>30</v>
      </c>
      <c r="C343" s="2">
        <v>0.32291666666666669</v>
      </c>
      <c r="D343" s="2">
        <v>0.79166666666666663</v>
      </c>
      <c r="E343" s="5">
        <f t="shared" si="14"/>
        <v>0.46874999999999994</v>
      </c>
      <c r="F343" s="6">
        <f t="shared" si="15"/>
        <v>1.88</v>
      </c>
    </row>
    <row r="344" spans="1:6" x14ac:dyDescent="0.3">
      <c r="A344" s="4">
        <v>46044</v>
      </c>
      <c r="B344" s="1" t="s">
        <v>7</v>
      </c>
      <c r="C344" s="2">
        <v>0.32916666666666666</v>
      </c>
      <c r="D344" s="2">
        <v>0.95972222222222225</v>
      </c>
      <c r="E344" s="5">
        <f t="shared" si="14"/>
        <v>0.63055555555555554</v>
      </c>
      <c r="F344" s="6">
        <f t="shared" si="15"/>
        <v>2.52</v>
      </c>
    </row>
    <row r="345" spans="1:6" x14ac:dyDescent="0.3">
      <c r="A345" s="4">
        <v>46044</v>
      </c>
      <c r="B345" s="1" t="s">
        <v>24</v>
      </c>
      <c r="C345" s="2">
        <v>0.33750000000000002</v>
      </c>
      <c r="D345" s="2">
        <v>0.8125</v>
      </c>
      <c r="E345" s="5">
        <f t="shared" si="14"/>
        <v>0.47499999999999998</v>
      </c>
      <c r="F345" s="6">
        <f t="shared" si="15"/>
        <v>1.9</v>
      </c>
    </row>
    <row r="346" spans="1:6" x14ac:dyDescent="0.3">
      <c r="A346" s="4">
        <v>46044</v>
      </c>
      <c r="B346" s="1" t="s">
        <v>51</v>
      </c>
      <c r="C346" s="2">
        <v>0.34513888888888888</v>
      </c>
      <c r="D346" s="2">
        <v>0.7895833333333333</v>
      </c>
      <c r="E346" s="5">
        <f t="shared" si="14"/>
        <v>0.44444444444444442</v>
      </c>
      <c r="F346" s="6">
        <f t="shared" si="15"/>
        <v>1.78</v>
      </c>
    </row>
    <row r="347" spans="1:6" x14ac:dyDescent="0.3">
      <c r="A347" s="4">
        <v>46044</v>
      </c>
      <c r="B347" s="1" t="s">
        <v>39</v>
      </c>
      <c r="C347" s="2">
        <v>0.37430555555555556</v>
      </c>
      <c r="D347" s="2">
        <v>0.79236111111111107</v>
      </c>
      <c r="E347" s="5">
        <f t="shared" si="14"/>
        <v>0.41805555555555551</v>
      </c>
      <c r="F347" s="6">
        <f t="shared" si="15"/>
        <v>1.67</v>
      </c>
    </row>
    <row r="348" spans="1:6" x14ac:dyDescent="0.3">
      <c r="A348" s="4">
        <v>46044</v>
      </c>
      <c r="B348" s="1" t="s">
        <v>38</v>
      </c>
      <c r="C348" s="2">
        <v>46044.789583333331</v>
      </c>
      <c r="D348" s="2">
        <v>46045.320833333331</v>
      </c>
      <c r="E348" s="5">
        <f t="shared" si="14"/>
        <v>0.53125</v>
      </c>
      <c r="F348" s="6">
        <f t="shared" si="15"/>
        <v>2.13</v>
      </c>
    </row>
    <row r="349" spans="1:6" x14ac:dyDescent="0.3">
      <c r="A349" s="4">
        <v>46044</v>
      </c>
      <c r="B349" s="1" t="s">
        <v>47</v>
      </c>
      <c r="C349" s="2">
        <v>46044.790277777778</v>
      </c>
      <c r="D349" s="2">
        <v>46045.304861111108</v>
      </c>
      <c r="E349" s="5">
        <f t="shared" si="14"/>
        <v>0.51458333332993789</v>
      </c>
      <c r="F349" s="6">
        <f t="shared" si="15"/>
        <v>2.06</v>
      </c>
    </row>
    <row r="350" spans="1:6" x14ac:dyDescent="0.3">
      <c r="A350" s="4">
        <v>46045</v>
      </c>
      <c r="B350" s="1" t="s">
        <v>27</v>
      </c>
      <c r="C350" s="2">
        <v>0.24097222222222223</v>
      </c>
      <c r="D350" s="2">
        <v>0.72152777777777777</v>
      </c>
      <c r="E350" s="5">
        <f t="shared" si="14"/>
        <v>0.48055555555555551</v>
      </c>
      <c r="F350" s="6">
        <f t="shared" si="15"/>
        <v>1.92</v>
      </c>
    </row>
    <row r="351" spans="1:6" x14ac:dyDescent="0.3">
      <c r="A351" s="4">
        <v>46045</v>
      </c>
      <c r="B351" s="1" t="s">
        <v>37</v>
      </c>
      <c r="C351" s="2">
        <v>0.24374999999999999</v>
      </c>
      <c r="D351" s="2">
        <v>0.5756944444444444</v>
      </c>
      <c r="E351" s="5">
        <f t="shared" si="14"/>
        <v>0.33194444444444438</v>
      </c>
      <c r="F351" s="6">
        <f t="shared" si="15"/>
        <v>1.33</v>
      </c>
    </row>
    <row r="352" spans="1:6" x14ac:dyDescent="0.3">
      <c r="A352" s="4">
        <v>46045</v>
      </c>
      <c r="B352" s="1" t="s">
        <v>4</v>
      </c>
      <c r="C352" s="2">
        <v>0.24444444444444444</v>
      </c>
      <c r="D352" s="2">
        <v>0.8</v>
      </c>
      <c r="E352" s="5">
        <f t="shared" si="14"/>
        <v>0.55555555555555558</v>
      </c>
      <c r="F352" s="6">
        <f t="shared" si="15"/>
        <v>2.2200000000000002</v>
      </c>
    </row>
    <row r="353" spans="1:6" x14ac:dyDescent="0.3">
      <c r="A353" s="4">
        <v>46045</v>
      </c>
      <c r="B353" s="1" t="s">
        <v>29</v>
      </c>
      <c r="C353" s="2">
        <v>0.28819444444444442</v>
      </c>
      <c r="D353" s="2">
        <v>0.85624999999999996</v>
      </c>
      <c r="E353" s="5">
        <f t="shared" si="14"/>
        <v>0.56805555555555554</v>
      </c>
      <c r="F353" s="6">
        <f t="shared" si="15"/>
        <v>2.27</v>
      </c>
    </row>
    <row r="354" spans="1:6" x14ac:dyDescent="0.3">
      <c r="A354" s="4">
        <v>46045</v>
      </c>
      <c r="B354" s="1" t="s">
        <v>34</v>
      </c>
      <c r="C354" s="2">
        <v>0.28958333333333336</v>
      </c>
      <c r="D354" s="2">
        <v>0.82361111111111107</v>
      </c>
      <c r="E354" s="5">
        <f t="shared" si="14"/>
        <v>0.53402777777777777</v>
      </c>
      <c r="F354" s="6">
        <f t="shared" si="15"/>
        <v>2.14</v>
      </c>
    </row>
    <row r="355" spans="1:6" x14ac:dyDescent="0.3">
      <c r="A355" s="4">
        <v>46045</v>
      </c>
      <c r="B355" s="1" t="s">
        <v>6</v>
      </c>
      <c r="C355" s="2">
        <v>0.28958333333333336</v>
      </c>
      <c r="D355" s="2">
        <v>0.72222222222222221</v>
      </c>
      <c r="E355" s="5">
        <f t="shared" si="14"/>
        <v>0.43263888888888885</v>
      </c>
      <c r="F355" s="6">
        <f t="shared" si="15"/>
        <v>1.73</v>
      </c>
    </row>
    <row r="356" spans="1:6" x14ac:dyDescent="0.3">
      <c r="A356" s="4">
        <v>46045</v>
      </c>
      <c r="B356" s="1" t="s">
        <v>41</v>
      </c>
      <c r="C356" s="2">
        <v>0.30486111111111114</v>
      </c>
      <c r="D356" s="2">
        <v>0.65486111111111112</v>
      </c>
      <c r="E356" s="5">
        <f t="shared" si="14"/>
        <v>0.35</v>
      </c>
      <c r="F356" s="6">
        <f t="shared" si="15"/>
        <v>1.4</v>
      </c>
    </row>
    <row r="357" spans="1:6" x14ac:dyDescent="0.3">
      <c r="A357" s="4">
        <v>46045</v>
      </c>
      <c r="B357" s="1" t="s">
        <v>46</v>
      </c>
      <c r="C357" s="2">
        <v>0.30694444444444446</v>
      </c>
      <c r="D357" s="2">
        <v>0.7993055555555556</v>
      </c>
      <c r="E357" s="5">
        <f t="shared" si="14"/>
        <v>0.49236111111111114</v>
      </c>
      <c r="F357" s="6">
        <f t="shared" si="15"/>
        <v>1.97</v>
      </c>
    </row>
    <row r="358" spans="1:6" x14ac:dyDescent="0.3">
      <c r="A358" s="4">
        <v>46045</v>
      </c>
      <c r="B358" s="1" t="s">
        <v>31</v>
      </c>
      <c r="C358" s="2">
        <v>0.30902777777777779</v>
      </c>
      <c r="D358" s="2">
        <v>0.89027777777777772</v>
      </c>
      <c r="E358" s="5">
        <f t="shared" si="14"/>
        <v>0.58124999999999993</v>
      </c>
      <c r="F358" s="6">
        <f t="shared" si="15"/>
        <v>2.33</v>
      </c>
    </row>
    <row r="359" spans="1:6" x14ac:dyDescent="0.3">
      <c r="A359" s="4">
        <v>46045</v>
      </c>
      <c r="B359" s="1" t="s">
        <v>45</v>
      </c>
      <c r="C359" s="2">
        <v>0.31180555555555556</v>
      </c>
      <c r="D359" s="2">
        <v>0.83750000000000002</v>
      </c>
      <c r="E359" s="5">
        <f t="shared" si="14"/>
        <v>0.52569444444444446</v>
      </c>
      <c r="F359" s="6">
        <f t="shared" si="15"/>
        <v>2.1</v>
      </c>
    </row>
    <row r="360" spans="1:6" x14ac:dyDescent="0.3">
      <c r="A360" s="4">
        <v>46045</v>
      </c>
      <c r="B360" s="1" t="s">
        <v>5</v>
      </c>
      <c r="C360" s="2">
        <v>0.31319444444444444</v>
      </c>
      <c r="D360" s="2">
        <v>0.84652777777777777</v>
      </c>
      <c r="E360" s="5">
        <f t="shared" si="14"/>
        <v>0.53333333333333333</v>
      </c>
      <c r="F360" s="6">
        <f t="shared" si="15"/>
        <v>2.13</v>
      </c>
    </row>
    <row r="361" spans="1:6" x14ac:dyDescent="0.3">
      <c r="A361" s="4">
        <v>46045</v>
      </c>
      <c r="B361" s="1" t="s">
        <v>32</v>
      </c>
      <c r="C361" s="2">
        <v>0.32222222222222224</v>
      </c>
      <c r="D361" s="2">
        <v>0.55555555555555558</v>
      </c>
      <c r="E361" s="5">
        <f t="shared" si="14"/>
        <v>0.23333333333333334</v>
      </c>
      <c r="F361" s="6">
        <f t="shared" si="15"/>
        <v>0.93</v>
      </c>
    </row>
    <row r="362" spans="1:6" x14ac:dyDescent="0.3">
      <c r="A362" s="4">
        <v>46045</v>
      </c>
      <c r="B362" s="1" t="s">
        <v>39</v>
      </c>
      <c r="C362" s="2">
        <v>0.34444444444444444</v>
      </c>
      <c r="D362" s="2">
        <v>0.80277777777777781</v>
      </c>
      <c r="E362" s="5">
        <f t="shared" si="14"/>
        <v>0.45833333333333337</v>
      </c>
      <c r="F362" s="6">
        <f t="shared" si="15"/>
        <v>1.83</v>
      </c>
    </row>
    <row r="363" spans="1:6" x14ac:dyDescent="0.3">
      <c r="A363" s="4">
        <v>46045</v>
      </c>
      <c r="B363" s="1" t="s">
        <v>35</v>
      </c>
      <c r="C363" s="2">
        <v>0.35625000000000001</v>
      </c>
      <c r="D363" s="2">
        <v>0.8208333333333333</v>
      </c>
      <c r="E363" s="5">
        <f t="shared" si="14"/>
        <v>0.46458333333333329</v>
      </c>
      <c r="F363" s="6">
        <f t="shared" si="15"/>
        <v>1.86</v>
      </c>
    </row>
    <row r="364" spans="1:6" x14ac:dyDescent="0.3">
      <c r="A364" s="4">
        <v>46045</v>
      </c>
      <c r="B364" s="1" t="s">
        <v>26</v>
      </c>
      <c r="C364" s="2">
        <v>0.36458333333333331</v>
      </c>
      <c r="D364" s="2">
        <v>0.4375</v>
      </c>
      <c r="E364" s="5">
        <f t="shared" si="14"/>
        <v>7.2916666666666685E-2</v>
      </c>
      <c r="F364" s="6">
        <f t="shared" si="15"/>
        <v>0.28999999999999998</v>
      </c>
    </row>
    <row r="365" spans="1:6" x14ac:dyDescent="0.3">
      <c r="A365" s="4">
        <v>46045</v>
      </c>
      <c r="B365" s="1" t="s">
        <v>40</v>
      </c>
      <c r="C365" s="2">
        <v>46045.791666666664</v>
      </c>
      <c r="D365" s="2">
        <v>46046.293749999997</v>
      </c>
      <c r="E365" s="5">
        <f t="shared" si="14"/>
        <v>0.50208333333284827</v>
      </c>
      <c r="F365" s="6">
        <f t="shared" si="15"/>
        <v>2.0099999999999998</v>
      </c>
    </row>
    <row r="366" spans="1:6" x14ac:dyDescent="0.3">
      <c r="A366" s="4">
        <v>46045</v>
      </c>
      <c r="B366" s="1" t="s">
        <v>7</v>
      </c>
      <c r="C366" s="2">
        <v>46045.795138888891</v>
      </c>
      <c r="D366" s="2">
        <v>46046.294444444444</v>
      </c>
      <c r="E366" s="5">
        <f t="shared" si="14"/>
        <v>0.49930555555329192</v>
      </c>
      <c r="F366" s="6">
        <f t="shared" si="15"/>
        <v>2</v>
      </c>
    </row>
    <row r="367" spans="1:6" x14ac:dyDescent="0.3">
      <c r="A367" s="4">
        <v>46046</v>
      </c>
      <c r="B367" s="1" t="s">
        <v>8</v>
      </c>
      <c r="C367" s="2">
        <v>0.23472222222222222</v>
      </c>
      <c r="D367" s="2">
        <v>0.45902777777777776</v>
      </c>
      <c r="E367" s="5">
        <f t="shared" si="14"/>
        <v>0.22430555555555554</v>
      </c>
      <c r="F367" s="6">
        <f t="shared" si="15"/>
        <v>0.9</v>
      </c>
    </row>
    <row r="368" spans="1:6" x14ac:dyDescent="0.3">
      <c r="A368" s="4">
        <v>46046</v>
      </c>
      <c r="B368" s="1" t="s">
        <v>64</v>
      </c>
      <c r="C368" s="2">
        <v>0.23402777777777778</v>
      </c>
      <c r="D368" s="2">
        <v>0.66180555555555554</v>
      </c>
      <c r="E368" s="5">
        <f t="shared" si="14"/>
        <v>0.42777777777777776</v>
      </c>
      <c r="F368" s="6">
        <f t="shared" si="15"/>
        <v>1.71</v>
      </c>
    </row>
    <row r="369" spans="1:6" x14ac:dyDescent="0.3">
      <c r="A369" s="4">
        <v>46046</v>
      </c>
      <c r="B369" s="1" t="s">
        <v>5</v>
      </c>
      <c r="C369" s="2">
        <v>0.27777777777777779</v>
      </c>
      <c r="D369" s="2">
        <v>0.36527777777777776</v>
      </c>
      <c r="E369" s="5">
        <f t="shared" si="14"/>
        <v>8.7499999999999967E-2</v>
      </c>
      <c r="F369" s="6">
        <f t="shared" si="15"/>
        <v>0.35</v>
      </c>
    </row>
    <row r="370" spans="1:6" x14ac:dyDescent="0.3">
      <c r="A370" s="4">
        <v>46046</v>
      </c>
      <c r="B370" s="1" t="s">
        <v>33</v>
      </c>
      <c r="C370" s="2">
        <v>0.28263888888888888</v>
      </c>
      <c r="D370" s="2">
        <v>0.55000000000000004</v>
      </c>
      <c r="E370" s="5">
        <f t="shared" si="14"/>
        <v>0.26736111111111116</v>
      </c>
      <c r="F370" s="6">
        <f t="shared" si="15"/>
        <v>1.07</v>
      </c>
    </row>
    <row r="371" spans="1:6" x14ac:dyDescent="0.3">
      <c r="A371" s="4">
        <v>46046</v>
      </c>
      <c r="B371" s="1" t="s">
        <v>45</v>
      </c>
      <c r="C371" s="2">
        <v>0.29236111111111113</v>
      </c>
      <c r="D371" s="2">
        <v>0.53611111111111109</v>
      </c>
      <c r="E371" s="5">
        <f t="shared" si="14"/>
        <v>0.24374999999999997</v>
      </c>
      <c r="F371" s="6">
        <f t="shared" si="15"/>
        <v>0.98</v>
      </c>
    </row>
    <row r="372" spans="1:6" x14ac:dyDescent="0.3">
      <c r="A372" s="4">
        <v>46046</v>
      </c>
      <c r="B372" s="1" t="s">
        <v>31</v>
      </c>
      <c r="C372" s="2">
        <v>0.30972222222222223</v>
      </c>
      <c r="D372" s="2">
        <v>0.84236111111111112</v>
      </c>
      <c r="E372" s="5">
        <f t="shared" si="14"/>
        <v>0.53263888888888888</v>
      </c>
      <c r="F372" s="6">
        <f t="shared" si="15"/>
        <v>2.13</v>
      </c>
    </row>
    <row r="373" spans="1:6" x14ac:dyDescent="0.3">
      <c r="A373" s="4">
        <v>46046</v>
      </c>
      <c r="B373" s="1" t="s">
        <v>30</v>
      </c>
      <c r="C373" s="2">
        <v>0.31111111111111112</v>
      </c>
      <c r="D373" s="2">
        <v>0.59027777777777779</v>
      </c>
      <c r="E373" s="5">
        <f t="shared" si="14"/>
        <v>0.27916666666666667</v>
      </c>
      <c r="F373" s="6">
        <f t="shared" si="15"/>
        <v>1.1200000000000001</v>
      </c>
    </row>
    <row r="374" spans="1:6" x14ac:dyDescent="0.3">
      <c r="A374" s="4">
        <v>46046</v>
      </c>
      <c r="B374" s="1" t="s">
        <v>4</v>
      </c>
      <c r="C374" s="2">
        <v>0.31666666666666665</v>
      </c>
      <c r="D374" s="2">
        <v>0.61250000000000004</v>
      </c>
      <c r="E374" s="5">
        <f t="shared" si="14"/>
        <v>0.29583333333333339</v>
      </c>
      <c r="F374" s="6">
        <f t="shared" si="15"/>
        <v>1.18</v>
      </c>
    </row>
    <row r="375" spans="1:6" x14ac:dyDescent="0.3">
      <c r="A375" s="4">
        <v>46046</v>
      </c>
      <c r="B375" s="1" t="s">
        <v>46</v>
      </c>
      <c r="C375" s="2">
        <v>0.32361111111111113</v>
      </c>
      <c r="D375" s="2">
        <v>0.56597222222222221</v>
      </c>
      <c r="E375" s="5">
        <f t="shared" si="14"/>
        <v>0.24236111111111108</v>
      </c>
      <c r="F375" s="6">
        <f t="shared" si="15"/>
        <v>0.97</v>
      </c>
    </row>
    <row r="376" spans="1:6" x14ac:dyDescent="0.3">
      <c r="A376" s="4">
        <v>46046</v>
      </c>
      <c r="B376" s="1" t="s">
        <v>47</v>
      </c>
      <c r="C376" s="2">
        <v>0.32500000000000001</v>
      </c>
      <c r="D376" s="2">
        <v>0.79861111111111116</v>
      </c>
      <c r="E376" s="5">
        <f t="shared" si="14"/>
        <v>0.47361111111111115</v>
      </c>
      <c r="F376" s="6">
        <f t="shared" si="15"/>
        <v>1.89</v>
      </c>
    </row>
    <row r="377" spans="1:6" x14ac:dyDescent="0.3">
      <c r="A377" s="4">
        <v>46046</v>
      </c>
      <c r="B377" s="1" t="s">
        <v>39</v>
      </c>
      <c r="C377" s="2">
        <v>0.32916666666666666</v>
      </c>
      <c r="D377" s="2">
        <v>0.55694444444444446</v>
      </c>
      <c r="E377" s="5">
        <f t="shared" si="14"/>
        <v>0.2277777777777778</v>
      </c>
      <c r="F377" s="6">
        <f t="shared" si="15"/>
        <v>0.91</v>
      </c>
    </row>
    <row r="378" spans="1:6" x14ac:dyDescent="0.3">
      <c r="A378" s="4">
        <v>46046</v>
      </c>
      <c r="B378" s="1" t="s">
        <v>51</v>
      </c>
      <c r="C378" s="2">
        <v>0.34444444444444444</v>
      </c>
      <c r="D378" s="2">
        <v>0.79513888888888884</v>
      </c>
      <c r="E378" s="5">
        <f t="shared" si="14"/>
        <v>0.4506944444444444</v>
      </c>
      <c r="F378" s="6">
        <f t="shared" si="15"/>
        <v>1.8</v>
      </c>
    </row>
    <row r="379" spans="1:6" x14ac:dyDescent="0.3">
      <c r="A379" s="4">
        <v>46046</v>
      </c>
      <c r="B379" s="1" t="s">
        <v>41</v>
      </c>
      <c r="C379" s="2">
        <v>0.34513888888888888</v>
      </c>
      <c r="D379" s="2">
        <v>0.40694444444444444</v>
      </c>
      <c r="E379" s="5">
        <f t="shared" si="14"/>
        <v>6.1805555555555558E-2</v>
      </c>
      <c r="F379" s="6">
        <f t="shared" si="15"/>
        <v>0.25</v>
      </c>
    </row>
    <row r="380" spans="1:6" x14ac:dyDescent="0.3">
      <c r="A380" s="4">
        <v>46046</v>
      </c>
      <c r="B380" s="1" t="s">
        <v>7</v>
      </c>
      <c r="C380" s="2">
        <v>46046.79583333333</v>
      </c>
      <c r="D380" s="2">
        <v>46047.304166666669</v>
      </c>
      <c r="E380" s="5">
        <f t="shared" si="14"/>
        <v>0.50833333333866904</v>
      </c>
      <c r="F380" s="6">
        <f t="shared" si="15"/>
        <v>2.0299999999999998</v>
      </c>
    </row>
    <row r="381" spans="1:6" x14ac:dyDescent="0.3">
      <c r="A381" s="4">
        <v>46046</v>
      </c>
      <c r="B381" s="1" t="s">
        <v>44</v>
      </c>
      <c r="C381" s="2">
        <v>46046.784722222219</v>
      </c>
      <c r="D381" s="2">
        <v>46047.300694444442</v>
      </c>
      <c r="E381" s="5">
        <f t="shared" si="14"/>
        <v>0.51597222222335404</v>
      </c>
      <c r="F381" s="6">
        <f t="shared" si="15"/>
        <v>2.06</v>
      </c>
    </row>
    <row r="382" spans="1:6" x14ac:dyDescent="0.3">
      <c r="A382" s="4">
        <v>46047</v>
      </c>
      <c r="B382" s="1" t="s">
        <v>8</v>
      </c>
      <c r="C382" s="2">
        <v>0.29097222222222224</v>
      </c>
      <c r="D382" s="2">
        <v>0.79861111111111116</v>
      </c>
      <c r="E382" s="5">
        <f t="shared" si="14"/>
        <v>0.50763888888888897</v>
      </c>
      <c r="F382" s="6">
        <f t="shared" si="15"/>
        <v>2.0299999999999998</v>
      </c>
    </row>
    <row r="383" spans="1:6" x14ac:dyDescent="0.3">
      <c r="A383" s="4">
        <v>46047</v>
      </c>
      <c r="B383" s="1" t="s">
        <v>4</v>
      </c>
      <c r="C383" s="2">
        <v>0.29166666666666669</v>
      </c>
      <c r="D383" s="2">
        <v>0.85972222222222228</v>
      </c>
      <c r="E383" s="5">
        <f t="shared" si="14"/>
        <v>0.56805555555555554</v>
      </c>
      <c r="F383" s="6">
        <f t="shared" si="15"/>
        <v>2.27</v>
      </c>
    </row>
    <row r="384" spans="1:6" x14ac:dyDescent="0.3">
      <c r="A384" s="4">
        <v>46047</v>
      </c>
      <c r="B384" s="1" t="s">
        <v>7</v>
      </c>
      <c r="C384" s="2">
        <v>46047.79791666667</v>
      </c>
      <c r="D384" s="2">
        <v>46048.29791666667</v>
      </c>
      <c r="E384" s="5">
        <f t="shared" si="14"/>
        <v>0.5</v>
      </c>
      <c r="F384" s="6">
        <f t="shared" si="15"/>
        <v>2</v>
      </c>
    </row>
    <row r="385" spans="1:6" x14ac:dyDescent="0.3">
      <c r="A385" s="4">
        <v>46047</v>
      </c>
      <c r="B385" s="1" t="s">
        <v>40</v>
      </c>
      <c r="C385" s="2">
        <v>46047.857638888891</v>
      </c>
      <c r="D385" s="2">
        <v>46048.31527777778</v>
      </c>
      <c r="E385" s="5">
        <f t="shared" si="14"/>
        <v>0.45763888888905058</v>
      </c>
      <c r="F385" s="6">
        <f t="shared" si="15"/>
        <v>1.83</v>
      </c>
    </row>
    <row r="386" spans="1:6" x14ac:dyDescent="0.3">
      <c r="A386" s="4">
        <v>46048</v>
      </c>
      <c r="B386" s="1" t="s">
        <v>38</v>
      </c>
      <c r="C386" s="2">
        <v>0.24236111111111111</v>
      </c>
      <c r="D386" s="2">
        <v>0.39930555555555558</v>
      </c>
      <c r="E386" s="5">
        <f t="shared" si="14"/>
        <v>0.15694444444444447</v>
      </c>
      <c r="F386" s="6">
        <f t="shared" si="15"/>
        <v>0.63</v>
      </c>
    </row>
    <row r="387" spans="1:6" x14ac:dyDescent="0.3">
      <c r="A387" s="4">
        <v>46048</v>
      </c>
      <c r="B387" s="1" t="s">
        <v>32</v>
      </c>
      <c r="C387" s="2">
        <v>0.24861111111111112</v>
      </c>
      <c r="D387" s="2">
        <v>0.71388888888888891</v>
      </c>
      <c r="E387" s="5">
        <f t="shared" ref="E387:E450" si="16">D387-C387</f>
        <v>0.46527777777777779</v>
      </c>
      <c r="F387" s="6">
        <f t="shared" ref="F387:F450" si="17">ROUND(VALUE(E387)*4,2)</f>
        <v>1.86</v>
      </c>
    </row>
    <row r="388" spans="1:6" x14ac:dyDescent="0.3">
      <c r="A388" s="4">
        <v>46048</v>
      </c>
      <c r="B388" s="1" t="s">
        <v>27</v>
      </c>
      <c r="C388" s="2">
        <v>46048.28125</v>
      </c>
      <c r="D388" s="2">
        <v>46049.020138888889</v>
      </c>
      <c r="E388" s="5">
        <f t="shared" si="16"/>
        <v>0.73888888888905058</v>
      </c>
      <c r="F388" s="6">
        <f t="shared" si="17"/>
        <v>2.96</v>
      </c>
    </row>
    <row r="389" spans="1:6" x14ac:dyDescent="0.3">
      <c r="A389" s="4">
        <v>46048</v>
      </c>
      <c r="B389" s="1" t="s">
        <v>6</v>
      </c>
      <c r="C389" s="2">
        <v>0.28402777777777777</v>
      </c>
      <c r="D389" s="2">
        <v>0.7270833333333333</v>
      </c>
      <c r="E389" s="5">
        <f t="shared" si="16"/>
        <v>0.44305555555555554</v>
      </c>
      <c r="F389" s="6">
        <f t="shared" si="17"/>
        <v>1.77</v>
      </c>
    </row>
    <row r="390" spans="1:6" x14ac:dyDescent="0.3">
      <c r="A390" s="4">
        <v>46048</v>
      </c>
      <c r="B390" s="1" t="s">
        <v>64</v>
      </c>
      <c r="C390" s="2">
        <v>0.28472222222222221</v>
      </c>
      <c r="D390" s="2">
        <v>0.5493055555555556</v>
      </c>
      <c r="E390" s="5">
        <f t="shared" si="16"/>
        <v>0.26458333333333339</v>
      </c>
      <c r="F390" s="6">
        <f t="shared" si="17"/>
        <v>1.06</v>
      </c>
    </row>
    <row r="391" spans="1:6" x14ac:dyDescent="0.3">
      <c r="A391" s="4">
        <v>46048</v>
      </c>
      <c r="B391" s="1" t="s">
        <v>35</v>
      </c>
      <c r="C391" s="2">
        <v>0.29097222222222224</v>
      </c>
      <c r="D391" s="2">
        <v>0.77986111111111112</v>
      </c>
      <c r="E391" s="5">
        <f t="shared" si="16"/>
        <v>0.48888888888888887</v>
      </c>
      <c r="F391" s="6">
        <f t="shared" si="17"/>
        <v>1.96</v>
      </c>
    </row>
    <row r="392" spans="1:6" x14ac:dyDescent="0.3">
      <c r="A392" s="4">
        <v>46048</v>
      </c>
      <c r="B392" s="1" t="s">
        <v>29</v>
      </c>
      <c r="C392" s="2">
        <v>0.29166666666666669</v>
      </c>
      <c r="D392" s="2">
        <v>0.83472222222222225</v>
      </c>
      <c r="E392" s="5">
        <f t="shared" si="16"/>
        <v>0.54305555555555562</v>
      </c>
      <c r="F392" s="6">
        <f t="shared" si="17"/>
        <v>2.17</v>
      </c>
    </row>
    <row r="393" spans="1:6" x14ac:dyDescent="0.3">
      <c r="A393" s="4">
        <v>46048</v>
      </c>
      <c r="B393" s="1" t="s">
        <v>33</v>
      </c>
      <c r="C393" s="2">
        <v>0.3</v>
      </c>
      <c r="D393" s="2">
        <v>0.42152777777777778</v>
      </c>
      <c r="E393" s="5">
        <f t="shared" si="16"/>
        <v>0.12152777777777779</v>
      </c>
      <c r="F393" s="6">
        <f t="shared" si="17"/>
        <v>0.49</v>
      </c>
    </row>
    <row r="394" spans="1:6" x14ac:dyDescent="0.3">
      <c r="A394" s="4">
        <v>46048</v>
      </c>
      <c r="B394" s="1" t="s">
        <v>41</v>
      </c>
      <c r="C394" s="2">
        <v>0.30416666666666664</v>
      </c>
      <c r="D394" s="2">
        <v>0.76666666666666672</v>
      </c>
      <c r="E394" s="5">
        <f t="shared" si="16"/>
        <v>0.46250000000000008</v>
      </c>
      <c r="F394" s="6">
        <f t="shared" si="17"/>
        <v>1.85</v>
      </c>
    </row>
    <row r="395" spans="1:6" x14ac:dyDescent="0.3">
      <c r="A395" s="4">
        <v>46048</v>
      </c>
      <c r="B395" s="1" t="s">
        <v>39</v>
      </c>
      <c r="C395" s="2">
        <v>0.30625000000000002</v>
      </c>
      <c r="D395" s="2">
        <v>0.79305555555555551</v>
      </c>
      <c r="E395" s="5">
        <f t="shared" si="16"/>
        <v>0.48680555555555549</v>
      </c>
      <c r="F395" s="6">
        <f t="shared" si="17"/>
        <v>1.95</v>
      </c>
    </row>
    <row r="396" spans="1:6" x14ac:dyDescent="0.3">
      <c r="A396" s="4">
        <v>46048</v>
      </c>
      <c r="B396" s="1" t="s">
        <v>5</v>
      </c>
      <c r="C396" s="2">
        <v>0.3125</v>
      </c>
      <c r="D396" s="2">
        <v>0.59444444444444444</v>
      </c>
      <c r="E396" s="5">
        <f t="shared" si="16"/>
        <v>0.28194444444444444</v>
      </c>
      <c r="F396" s="6">
        <f t="shared" si="17"/>
        <v>1.1299999999999999</v>
      </c>
    </row>
    <row r="397" spans="1:6" x14ac:dyDescent="0.3">
      <c r="A397" s="4">
        <v>46048</v>
      </c>
      <c r="B397" s="1" t="s">
        <v>45</v>
      </c>
      <c r="C397" s="2">
        <v>0.31666666666666665</v>
      </c>
      <c r="D397" s="2">
        <v>0.7993055555555556</v>
      </c>
      <c r="E397" s="5">
        <f t="shared" si="16"/>
        <v>0.48263888888888895</v>
      </c>
      <c r="F397" s="6">
        <f t="shared" si="17"/>
        <v>1.93</v>
      </c>
    </row>
    <row r="398" spans="1:6" x14ac:dyDescent="0.3">
      <c r="A398" s="4">
        <v>46048</v>
      </c>
      <c r="B398" s="1" t="s">
        <v>31</v>
      </c>
      <c r="C398" s="2">
        <v>0.31666666666666665</v>
      </c>
      <c r="D398" s="2">
        <v>0.81597222222222221</v>
      </c>
      <c r="E398" s="5">
        <f t="shared" si="16"/>
        <v>0.49930555555555556</v>
      </c>
      <c r="F398" s="6">
        <f t="shared" si="17"/>
        <v>2</v>
      </c>
    </row>
    <row r="399" spans="1:6" x14ac:dyDescent="0.3">
      <c r="A399" s="4">
        <v>46048</v>
      </c>
      <c r="B399" s="1" t="s">
        <v>30</v>
      </c>
      <c r="C399" s="2">
        <v>0.31944444444444442</v>
      </c>
      <c r="D399" s="2">
        <v>0.80277777777777781</v>
      </c>
      <c r="E399" s="5">
        <f t="shared" si="16"/>
        <v>0.48333333333333339</v>
      </c>
      <c r="F399" s="6">
        <f t="shared" si="17"/>
        <v>1.93</v>
      </c>
    </row>
    <row r="400" spans="1:6" x14ac:dyDescent="0.3">
      <c r="A400" s="4">
        <v>46048</v>
      </c>
      <c r="B400" s="1" t="s">
        <v>8</v>
      </c>
      <c r="C400" s="2">
        <v>0.3263888888888889</v>
      </c>
      <c r="D400" s="2">
        <v>0.70763888888888893</v>
      </c>
      <c r="E400" s="5">
        <f t="shared" si="16"/>
        <v>0.38125000000000003</v>
      </c>
      <c r="F400" s="6">
        <f t="shared" si="17"/>
        <v>1.53</v>
      </c>
    </row>
    <row r="401" spans="1:6" x14ac:dyDescent="0.3">
      <c r="A401" s="4">
        <v>46048</v>
      </c>
      <c r="B401" s="1" t="s">
        <v>23</v>
      </c>
      <c r="C401" s="2">
        <v>0.33750000000000002</v>
      </c>
      <c r="D401" s="2">
        <v>0.8</v>
      </c>
      <c r="E401" s="5">
        <f t="shared" si="16"/>
        <v>0.46250000000000002</v>
      </c>
      <c r="F401" s="6">
        <f t="shared" si="17"/>
        <v>1.85</v>
      </c>
    </row>
    <row r="402" spans="1:6" x14ac:dyDescent="0.3">
      <c r="A402" s="4">
        <v>46048</v>
      </c>
      <c r="B402" s="1" t="s">
        <v>43</v>
      </c>
      <c r="C402" s="2">
        <v>46048.786805555559</v>
      </c>
      <c r="D402" s="2">
        <v>46049.302083333336</v>
      </c>
      <c r="E402" s="5">
        <f t="shared" si="16"/>
        <v>0.51527777777664596</v>
      </c>
      <c r="F402" s="6">
        <f t="shared" si="17"/>
        <v>2.06</v>
      </c>
    </row>
    <row r="403" spans="1:6" x14ac:dyDescent="0.3">
      <c r="A403" s="4">
        <v>46048</v>
      </c>
      <c r="B403" s="1" t="s">
        <v>46</v>
      </c>
      <c r="C403" s="2">
        <v>46048.789583333331</v>
      </c>
      <c r="D403" s="2">
        <v>46049.302083333336</v>
      </c>
      <c r="E403" s="5">
        <f t="shared" si="16"/>
        <v>0.51250000000436557</v>
      </c>
      <c r="F403" s="6">
        <f t="shared" si="17"/>
        <v>2.0499999999999998</v>
      </c>
    </row>
    <row r="404" spans="1:6" x14ac:dyDescent="0.3">
      <c r="A404" s="4">
        <v>46049</v>
      </c>
      <c r="B404" s="1" t="s">
        <v>47</v>
      </c>
      <c r="C404" s="2">
        <v>0.23749999999999999</v>
      </c>
      <c r="D404" s="2">
        <v>0.72847222222222219</v>
      </c>
      <c r="E404" s="5">
        <f t="shared" si="16"/>
        <v>0.4909722222222222</v>
      </c>
      <c r="F404" s="6">
        <f t="shared" si="17"/>
        <v>1.96</v>
      </c>
    </row>
    <row r="405" spans="1:6" x14ac:dyDescent="0.3">
      <c r="A405" s="4">
        <v>46049</v>
      </c>
      <c r="B405" s="1" t="s">
        <v>40</v>
      </c>
      <c r="C405" s="2">
        <v>0.25833333333333336</v>
      </c>
      <c r="D405" s="2">
        <v>0.86111111111111116</v>
      </c>
      <c r="E405" s="5">
        <f t="shared" si="16"/>
        <v>0.60277777777777786</v>
      </c>
      <c r="F405" s="6">
        <f t="shared" si="17"/>
        <v>2.41</v>
      </c>
    </row>
    <row r="406" spans="1:6" x14ac:dyDescent="0.3">
      <c r="A406" s="4">
        <v>46049</v>
      </c>
      <c r="B406" s="1" t="s">
        <v>31</v>
      </c>
      <c r="C406" s="2">
        <v>0.28055555555555556</v>
      </c>
      <c r="D406" s="2">
        <v>0.85763888888888884</v>
      </c>
      <c r="E406" s="5">
        <f t="shared" si="16"/>
        <v>0.57708333333333328</v>
      </c>
      <c r="F406" s="6">
        <f t="shared" si="17"/>
        <v>2.31</v>
      </c>
    </row>
    <row r="407" spans="1:6" x14ac:dyDescent="0.3">
      <c r="A407" s="4">
        <v>46049</v>
      </c>
      <c r="B407" s="1" t="s">
        <v>34</v>
      </c>
      <c r="C407" s="2">
        <v>0.28958333333333336</v>
      </c>
      <c r="D407" s="2">
        <v>0.79791666666666672</v>
      </c>
      <c r="E407" s="5">
        <f t="shared" si="16"/>
        <v>0.5083333333333333</v>
      </c>
      <c r="F407" s="6">
        <f t="shared" si="17"/>
        <v>2.0299999999999998</v>
      </c>
    </row>
    <row r="408" spans="1:6" x14ac:dyDescent="0.3">
      <c r="A408" s="4">
        <v>46049</v>
      </c>
      <c r="B408" s="1" t="s">
        <v>7</v>
      </c>
      <c r="C408" s="2">
        <v>0.29097222222222224</v>
      </c>
      <c r="D408" s="2">
        <v>0.44236111111111109</v>
      </c>
      <c r="E408" s="5">
        <f t="shared" si="16"/>
        <v>0.15138888888888885</v>
      </c>
      <c r="F408" s="6">
        <f t="shared" si="17"/>
        <v>0.61</v>
      </c>
    </row>
    <row r="409" spans="1:6" x14ac:dyDescent="0.3">
      <c r="A409" s="4">
        <v>46049</v>
      </c>
      <c r="B409" s="1" t="s">
        <v>38</v>
      </c>
      <c r="C409" s="2">
        <v>0.2951388888888889</v>
      </c>
      <c r="D409" s="2">
        <v>0.9291666666666667</v>
      </c>
      <c r="E409" s="5">
        <f t="shared" si="16"/>
        <v>0.63402777777777786</v>
      </c>
      <c r="F409" s="6">
        <f t="shared" si="17"/>
        <v>2.54</v>
      </c>
    </row>
    <row r="410" spans="1:6" x14ac:dyDescent="0.3">
      <c r="A410" s="4">
        <v>46049</v>
      </c>
      <c r="B410" s="1" t="s">
        <v>8</v>
      </c>
      <c r="C410" s="2">
        <v>0.29791666666666666</v>
      </c>
      <c r="D410" s="2">
        <v>0.78263888888888888</v>
      </c>
      <c r="E410" s="5">
        <f t="shared" si="16"/>
        <v>0.48472222222222222</v>
      </c>
      <c r="F410" s="6">
        <f t="shared" si="17"/>
        <v>1.94</v>
      </c>
    </row>
    <row r="411" spans="1:6" x14ac:dyDescent="0.3">
      <c r="A411" s="4">
        <v>46049</v>
      </c>
      <c r="B411" s="1" t="s">
        <v>36</v>
      </c>
      <c r="C411" s="2">
        <v>0.29791666666666666</v>
      </c>
      <c r="D411" s="2">
        <v>0.8125</v>
      </c>
      <c r="E411" s="5">
        <f t="shared" si="16"/>
        <v>0.51458333333333339</v>
      </c>
      <c r="F411" s="6">
        <f t="shared" si="17"/>
        <v>2.06</v>
      </c>
    </row>
    <row r="412" spans="1:6" x14ac:dyDescent="0.3">
      <c r="A412" s="4">
        <v>46049</v>
      </c>
      <c r="B412" s="1" t="s">
        <v>35</v>
      </c>
      <c r="C412" s="2">
        <v>0.29930555555555555</v>
      </c>
      <c r="D412" s="2">
        <v>0.90069444444444446</v>
      </c>
      <c r="E412" s="5">
        <f t="shared" si="16"/>
        <v>0.60138888888888897</v>
      </c>
      <c r="F412" s="6">
        <f t="shared" si="17"/>
        <v>2.41</v>
      </c>
    </row>
    <row r="413" spans="1:6" x14ac:dyDescent="0.3">
      <c r="A413" s="4">
        <v>46049</v>
      </c>
      <c r="B413" s="1" t="s">
        <v>24</v>
      </c>
      <c r="C413" s="2">
        <v>0.31458333333333333</v>
      </c>
      <c r="D413" s="2">
        <v>0.39513888888888887</v>
      </c>
      <c r="E413" s="5">
        <f t="shared" si="16"/>
        <v>8.0555555555555547E-2</v>
      </c>
      <c r="F413" s="6">
        <f t="shared" si="17"/>
        <v>0.32</v>
      </c>
    </row>
    <row r="414" spans="1:6" x14ac:dyDescent="0.3">
      <c r="A414" s="4">
        <v>46049</v>
      </c>
      <c r="B414" s="1" t="s">
        <v>29</v>
      </c>
      <c r="C414" s="2">
        <v>0.31527777777777777</v>
      </c>
      <c r="D414" s="2">
        <v>0.80625000000000002</v>
      </c>
      <c r="E414" s="5">
        <f t="shared" si="16"/>
        <v>0.49097222222222225</v>
      </c>
      <c r="F414" s="6">
        <f t="shared" si="17"/>
        <v>1.96</v>
      </c>
    </row>
    <row r="415" spans="1:6" x14ac:dyDescent="0.3">
      <c r="A415" s="4">
        <v>46049</v>
      </c>
      <c r="B415" s="1" t="s">
        <v>63</v>
      </c>
      <c r="C415" s="2">
        <v>0.32361111111111113</v>
      </c>
      <c r="D415" s="2">
        <v>0.50694444444444442</v>
      </c>
      <c r="E415" s="5">
        <f t="shared" si="16"/>
        <v>0.18333333333333329</v>
      </c>
      <c r="F415" s="6">
        <f t="shared" si="17"/>
        <v>0.73</v>
      </c>
    </row>
    <row r="416" spans="1:6" x14ac:dyDescent="0.3">
      <c r="A416" s="4">
        <v>46049</v>
      </c>
      <c r="B416" s="1" t="s">
        <v>23</v>
      </c>
      <c r="C416" s="2">
        <v>0.34375</v>
      </c>
      <c r="D416" s="2">
        <v>0.7944444444444444</v>
      </c>
      <c r="E416" s="5">
        <f t="shared" si="16"/>
        <v>0.4506944444444444</v>
      </c>
      <c r="F416" s="6">
        <f t="shared" si="17"/>
        <v>1.8</v>
      </c>
    </row>
    <row r="417" spans="1:6" x14ac:dyDescent="0.3">
      <c r="A417" s="4">
        <v>46049</v>
      </c>
      <c r="B417" s="1" t="s">
        <v>39</v>
      </c>
      <c r="C417" s="2">
        <v>0.34722222222222221</v>
      </c>
      <c r="D417" s="2">
        <v>0.79861111111111116</v>
      </c>
      <c r="E417" s="5">
        <f t="shared" si="16"/>
        <v>0.45138888888888895</v>
      </c>
      <c r="F417" s="6">
        <f t="shared" si="17"/>
        <v>1.81</v>
      </c>
    </row>
    <row r="418" spans="1:6" x14ac:dyDescent="0.3">
      <c r="A418" s="4">
        <v>46049</v>
      </c>
      <c r="B418" s="1" t="s">
        <v>33</v>
      </c>
      <c r="C418" s="2">
        <v>0.3125</v>
      </c>
      <c r="D418" s="2">
        <v>0.87916666666666665</v>
      </c>
      <c r="E418" s="5">
        <f t="shared" si="16"/>
        <v>0.56666666666666665</v>
      </c>
      <c r="F418" s="6">
        <f t="shared" si="17"/>
        <v>2.27</v>
      </c>
    </row>
    <row r="419" spans="1:6" x14ac:dyDescent="0.3">
      <c r="A419" s="4">
        <v>46049</v>
      </c>
      <c r="B419" s="1" t="s">
        <v>30</v>
      </c>
      <c r="C419" s="2">
        <v>0.4375</v>
      </c>
      <c r="D419" s="2">
        <v>0.5625</v>
      </c>
      <c r="E419" s="5">
        <f t="shared" si="16"/>
        <v>0.125</v>
      </c>
      <c r="F419" s="6">
        <f t="shared" si="17"/>
        <v>0.5</v>
      </c>
    </row>
    <row r="420" spans="1:6" x14ac:dyDescent="0.3">
      <c r="A420" s="4">
        <v>46049</v>
      </c>
      <c r="B420" s="1" t="s">
        <v>63</v>
      </c>
      <c r="C420" s="2">
        <v>0.58333333333333337</v>
      </c>
      <c r="D420" s="2">
        <v>0.77777777777777779</v>
      </c>
      <c r="E420" s="5">
        <f t="shared" si="16"/>
        <v>0.19444444444444442</v>
      </c>
      <c r="F420" s="6">
        <f t="shared" si="17"/>
        <v>0.78</v>
      </c>
    </row>
    <row r="421" spans="1:6" x14ac:dyDescent="0.3">
      <c r="A421" s="4">
        <v>46049</v>
      </c>
      <c r="B421" s="1" t="s">
        <v>45</v>
      </c>
      <c r="C421" s="2">
        <v>46049.800694444442</v>
      </c>
      <c r="D421" s="2">
        <v>46050.302083333336</v>
      </c>
      <c r="E421" s="5">
        <f t="shared" si="16"/>
        <v>0.50138888889341615</v>
      </c>
      <c r="F421" s="6">
        <f t="shared" si="17"/>
        <v>2.0099999999999998</v>
      </c>
    </row>
    <row r="422" spans="1:6" x14ac:dyDescent="0.3">
      <c r="A422" s="4">
        <v>46049</v>
      </c>
      <c r="B422" s="1" t="s">
        <v>4</v>
      </c>
      <c r="C422" s="2">
        <v>46049.861805555556</v>
      </c>
      <c r="D422" s="2">
        <v>46050.304861111108</v>
      </c>
      <c r="E422" s="5">
        <f t="shared" si="16"/>
        <v>0.44305555555183673</v>
      </c>
      <c r="F422" s="6">
        <f t="shared" si="17"/>
        <v>1.77</v>
      </c>
    </row>
    <row r="423" spans="1:6" x14ac:dyDescent="0.3">
      <c r="A423" s="4">
        <v>46049</v>
      </c>
      <c r="B423" s="1" t="s">
        <v>32</v>
      </c>
      <c r="C423" s="2">
        <v>46049.291666666664</v>
      </c>
      <c r="D423" s="2">
        <v>46050.084722222222</v>
      </c>
      <c r="E423" s="5">
        <f t="shared" si="16"/>
        <v>0.7930555555576575</v>
      </c>
      <c r="F423" s="6">
        <f t="shared" si="17"/>
        <v>3.17</v>
      </c>
    </row>
    <row r="424" spans="1:6" x14ac:dyDescent="0.3">
      <c r="A424" s="4">
        <v>46050</v>
      </c>
      <c r="B424" s="1" t="s">
        <v>6</v>
      </c>
      <c r="C424" s="2">
        <v>0.23333333333333334</v>
      </c>
      <c r="D424" s="2">
        <v>0.87083333333333335</v>
      </c>
      <c r="E424" s="5">
        <f t="shared" si="16"/>
        <v>0.63749999999999996</v>
      </c>
      <c r="F424" s="6">
        <f t="shared" si="17"/>
        <v>2.5499999999999998</v>
      </c>
    </row>
    <row r="425" spans="1:6" x14ac:dyDescent="0.3">
      <c r="A425" s="4">
        <v>46050</v>
      </c>
      <c r="B425" s="1" t="s">
        <v>43</v>
      </c>
      <c r="C425" s="2">
        <v>0.23541666666666666</v>
      </c>
      <c r="D425" s="2">
        <v>0.8</v>
      </c>
      <c r="E425" s="5">
        <f t="shared" si="16"/>
        <v>0.56458333333333344</v>
      </c>
      <c r="F425" s="6">
        <f t="shared" si="17"/>
        <v>2.2599999999999998</v>
      </c>
    </row>
    <row r="426" spans="1:6" x14ac:dyDescent="0.3">
      <c r="A426" s="4">
        <v>46050</v>
      </c>
      <c r="B426" s="1" t="s">
        <v>31</v>
      </c>
      <c r="C426" s="2">
        <v>0.23958333333333334</v>
      </c>
      <c r="D426" s="2">
        <v>0.875</v>
      </c>
      <c r="E426" s="5">
        <f t="shared" si="16"/>
        <v>0.63541666666666663</v>
      </c>
      <c r="F426" s="6">
        <f t="shared" si="17"/>
        <v>2.54</v>
      </c>
    </row>
    <row r="427" spans="1:6" x14ac:dyDescent="0.3">
      <c r="A427" s="4">
        <v>46050</v>
      </c>
      <c r="B427" s="1" t="s">
        <v>8</v>
      </c>
      <c r="C427" s="2">
        <v>0.24930555555555556</v>
      </c>
      <c r="D427" s="2">
        <v>0.80763888888888891</v>
      </c>
      <c r="E427" s="5">
        <f t="shared" si="16"/>
        <v>0.55833333333333335</v>
      </c>
      <c r="F427" s="6">
        <f t="shared" si="17"/>
        <v>2.23</v>
      </c>
    </row>
    <row r="428" spans="1:6" x14ac:dyDescent="0.3">
      <c r="A428" s="4">
        <v>46050</v>
      </c>
      <c r="B428" s="1" t="s">
        <v>27</v>
      </c>
      <c r="C428" s="2">
        <v>0.29166666666666669</v>
      </c>
      <c r="D428" s="2">
        <v>0.83194444444444449</v>
      </c>
      <c r="E428" s="5">
        <f t="shared" si="16"/>
        <v>0.54027777777777786</v>
      </c>
      <c r="F428" s="6">
        <f t="shared" si="17"/>
        <v>2.16</v>
      </c>
    </row>
    <row r="429" spans="1:6" x14ac:dyDescent="0.3">
      <c r="A429" s="4">
        <v>46050</v>
      </c>
      <c r="B429" s="1" t="s">
        <v>35</v>
      </c>
      <c r="C429" s="2">
        <v>0.29305555555555557</v>
      </c>
      <c r="D429" s="2">
        <v>0.97152777777777777</v>
      </c>
      <c r="E429" s="5">
        <f t="shared" si="16"/>
        <v>0.67847222222222214</v>
      </c>
      <c r="F429" s="6">
        <f t="shared" si="17"/>
        <v>2.71</v>
      </c>
    </row>
    <row r="430" spans="1:6" x14ac:dyDescent="0.3">
      <c r="A430" s="4">
        <v>46050</v>
      </c>
      <c r="B430" s="1" t="s">
        <v>41</v>
      </c>
      <c r="C430" s="2">
        <v>0.30138888888888887</v>
      </c>
      <c r="D430" s="2">
        <v>0.80069444444444449</v>
      </c>
      <c r="E430" s="5">
        <f t="shared" si="16"/>
        <v>0.49930555555555561</v>
      </c>
      <c r="F430" s="6">
        <f t="shared" si="17"/>
        <v>2</v>
      </c>
    </row>
    <row r="431" spans="1:6" x14ac:dyDescent="0.3">
      <c r="A431" s="4">
        <v>46050</v>
      </c>
      <c r="B431" s="1" t="s">
        <v>40</v>
      </c>
      <c r="C431" s="2">
        <v>0.30833333333333335</v>
      </c>
      <c r="D431" s="2">
        <v>0.66736111111111107</v>
      </c>
      <c r="E431" s="5">
        <f t="shared" si="16"/>
        <v>0.35902777777777772</v>
      </c>
      <c r="F431" s="6">
        <f t="shared" si="17"/>
        <v>1.44</v>
      </c>
    </row>
    <row r="432" spans="1:6" x14ac:dyDescent="0.3">
      <c r="A432" s="4">
        <v>46050</v>
      </c>
      <c r="B432" s="1" t="s">
        <v>24</v>
      </c>
      <c r="C432" s="2">
        <v>0.31597222222222221</v>
      </c>
      <c r="D432" s="2">
        <v>0.8</v>
      </c>
      <c r="E432" s="5">
        <f t="shared" si="16"/>
        <v>0.48402777777777783</v>
      </c>
      <c r="F432" s="6">
        <f t="shared" si="17"/>
        <v>1.94</v>
      </c>
    </row>
    <row r="433" spans="1:6" x14ac:dyDescent="0.3">
      <c r="A433" s="4">
        <v>46050</v>
      </c>
      <c r="B433" s="1" t="s">
        <v>47</v>
      </c>
      <c r="C433" s="2">
        <v>46050.320833333331</v>
      </c>
      <c r="D433" s="2">
        <v>46051.112500000003</v>
      </c>
      <c r="E433" s="5">
        <f t="shared" si="16"/>
        <v>0.79166666667151731</v>
      </c>
      <c r="F433" s="6">
        <f t="shared" si="17"/>
        <v>3.17</v>
      </c>
    </row>
    <row r="434" spans="1:6" x14ac:dyDescent="0.3">
      <c r="A434" s="4">
        <v>46050</v>
      </c>
      <c r="B434" s="1" t="s">
        <v>51</v>
      </c>
      <c r="C434" s="2">
        <v>0.32430555555555557</v>
      </c>
      <c r="D434" s="2">
        <v>0.8256944444444444</v>
      </c>
      <c r="E434" s="5">
        <f t="shared" si="16"/>
        <v>0.50138888888888888</v>
      </c>
      <c r="F434" s="6">
        <f t="shared" si="17"/>
        <v>2.0099999999999998</v>
      </c>
    </row>
    <row r="435" spans="1:6" x14ac:dyDescent="0.3">
      <c r="A435" s="4">
        <v>46050</v>
      </c>
      <c r="B435" s="1" t="s">
        <v>63</v>
      </c>
      <c r="C435" s="2">
        <v>0.33263888888888887</v>
      </c>
      <c r="D435" s="2">
        <v>0.55555555555555558</v>
      </c>
      <c r="E435" s="5">
        <f t="shared" si="16"/>
        <v>0.22291666666666671</v>
      </c>
      <c r="F435" s="6">
        <f t="shared" si="17"/>
        <v>0.89</v>
      </c>
    </row>
    <row r="436" spans="1:6" x14ac:dyDescent="0.3">
      <c r="A436" s="4">
        <v>46050</v>
      </c>
      <c r="B436" s="1" t="s">
        <v>38</v>
      </c>
      <c r="C436" s="2">
        <v>0.34444444444444444</v>
      </c>
      <c r="D436" s="2">
        <v>0.9819444444444444</v>
      </c>
      <c r="E436" s="5">
        <f t="shared" si="16"/>
        <v>0.63749999999999996</v>
      </c>
      <c r="F436" s="6">
        <f t="shared" si="17"/>
        <v>2.5499999999999998</v>
      </c>
    </row>
    <row r="437" spans="1:6" x14ac:dyDescent="0.3">
      <c r="A437" s="4">
        <v>46050</v>
      </c>
      <c r="B437" s="1" t="s">
        <v>39</v>
      </c>
      <c r="C437" s="2">
        <v>0.35138888888888886</v>
      </c>
      <c r="D437" s="2">
        <v>0.7993055555555556</v>
      </c>
      <c r="E437" s="5">
        <f t="shared" si="16"/>
        <v>0.44791666666666674</v>
      </c>
      <c r="F437" s="6">
        <f t="shared" si="17"/>
        <v>1.79</v>
      </c>
    </row>
    <row r="438" spans="1:6" x14ac:dyDescent="0.3">
      <c r="A438" s="4">
        <v>46050</v>
      </c>
      <c r="B438" s="1" t="s">
        <v>7</v>
      </c>
      <c r="C438" s="2">
        <v>0.37013888888888891</v>
      </c>
      <c r="D438" s="2">
        <v>0.81319444444444444</v>
      </c>
      <c r="E438" s="5">
        <f t="shared" si="16"/>
        <v>0.44305555555555554</v>
      </c>
      <c r="F438" s="6">
        <f t="shared" si="17"/>
        <v>1.77</v>
      </c>
    </row>
    <row r="439" spans="1:6" x14ac:dyDescent="0.3">
      <c r="A439" s="4">
        <v>46050</v>
      </c>
      <c r="B439" s="1" t="s">
        <v>23</v>
      </c>
      <c r="C439" s="2">
        <v>0.39305555555555555</v>
      </c>
      <c r="D439" s="2">
        <v>0.79722222222222228</v>
      </c>
      <c r="E439" s="5">
        <f t="shared" si="16"/>
        <v>0.40416666666666673</v>
      </c>
      <c r="F439" s="6">
        <f t="shared" si="17"/>
        <v>1.62</v>
      </c>
    </row>
    <row r="440" spans="1:6" x14ac:dyDescent="0.3">
      <c r="A440" s="4">
        <v>46050</v>
      </c>
      <c r="B440" s="1" t="s">
        <v>29</v>
      </c>
      <c r="C440" s="2">
        <v>0.58263888888888893</v>
      </c>
      <c r="D440" s="2">
        <v>0.80902777777777779</v>
      </c>
      <c r="E440" s="5">
        <f t="shared" si="16"/>
        <v>0.22638888888888886</v>
      </c>
      <c r="F440" s="6">
        <f t="shared" si="17"/>
        <v>0.91</v>
      </c>
    </row>
    <row r="441" spans="1:6" x14ac:dyDescent="0.3">
      <c r="A441" s="4">
        <v>46050</v>
      </c>
      <c r="B441" s="1" t="s">
        <v>44</v>
      </c>
      <c r="C441" s="2">
        <v>46050.79583333333</v>
      </c>
      <c r="D441" s="2">
        <v>46051.298611111109</v>
      </c>
      <c r="E441" s="5">
        <f t="shared" si="16"/>
        <v>0.50277777777955635</v>
      </c>
      <c r="F441" s="6">
        <f t="shared" si="17"/>
        <v>2.0099999999999998</v>
      </c>
    </row>
    <row r="442" spans="1:6" x14ac:dyDescent="0.3">
      <c r="A442" s="4">
        <v>46050</v>
      </c>
      <c r="B442" s="1" t="s">
        <v>5</v>
      </c>
      <c r="C442" s="2">
        <v>46050.801388888889</v>
      </c>
      <c r="D442" s="2">
        <v>46051.297222222223</v>
      </c>
      <c r="E442" s="5">
        <f t="shared" si="16"/>
        <v>0.49583333333430346</v>
      </c>
      <c r="F442" s="6">
        <f t="shared" si="17"/>
        <v>1.98</v>
      </c>
    </row>
    <row r="443" spans="1:6" x14ac:dyDescent="0.3">
      <c r="A443" s="4">
        <v>46051</v>
      </c>
      <c r="B443" s="1" t="s">
        <v>36</v>
      </c>
      <c r="C443" s="2">
        <v>0.24097222222222223</v>
      </c>
      <c r="D443" s="2">
        <v>0.82152777777777775</v>
      </c>
      <c r="E443" s="5">
        <f t="shared" si="16"/>
        <v>0.58055555555555549</v>
      </c>
      <c r="F443" s="6">
        <f t="shared" si="17"/>
        <v>2.3199999999999998</v>
      </c>
    </row>
    <row r="444" spans="1:6" x14ac:dyDescent="0.3">
      <c r="A444" s="4">
        <v>46051</v>
      </c>
      <c r="B444" s="1" t="s">
        <v>46</v>
      </c>
      <c r="C444" s="2">
        <v>0.24097222222222223</v>
      </c>
      <c r="D444" s="2">
        <v>0.76249999999999996</v>
      </c>
      <c r="E444" s="5">
        <f t="shared" si="16"/>
        <v>0.5215277777777777</v>
      </c>
      <c r="F444" s="6">
        <f t="shared" si="17"/>
        <v>2.09</v>
      </c>
    </row>
    <row r="445" spans="1:6" x14ac:dyDescent="0.3">
      <c r="A445" s="4">
        <v>46051</v>
      </c>
      <c r="B445" s="1" t="s">
        <v>32</v>
      </c>
      <c r="C445" s="2">
        <v>0.25624999999999998</v>
      </c>
      <c r="D445" s="2">
        <v>0.76041666666666663</v>
      </c>
      <c r="E445" s="5">
        <f t="shared" si="16"/>
        <v>0.50416666666666665</v>
      </c>
      <c r="F445" s="6">
        <f t="shared" si="17"/>
        <v>2.02</v>
      </c>
    </row>
    <row r="446" spans="1:6" x14ac:dyDescent="0.3">
      <c r="A446" s="4">
        <v>46051</v>
      </c>
      <c r="B446" s="1" t="s">
        <v>7</v>
      </c>
      <c r="C446" s="2">
        <v>46051.28125</v>
      </c>
      <c r="D446" s="2">
        <v>46052.09097222222</v>
      </c>
      <c r="E446" s="5">
        <f t="shared" si="16"/>
        <v>0.80972222222044365</v>
      </c>
      <c r="F446" s="6">
        <f t="shared" si="17"/>
        <v>3.24</v>
      </c>
    </row>
    <row r="447" spans="1:6" x14ac:dyDescent="0.3">
      <c r="A447" s="4">
        <v>46051</v>
      </c>
      <c r="B447" s="1" t="s">
        <v>35</v>
      </c>
      <c r="C447" s="2">
        <v>0.28888888888888886</v>
      </c>
      <c r="D447" s="2">
        <v>0.69444444444444442</v>
      </c>
      <c r="E447" s="5">
        <f t="shared" si="16"/>
        <v>0.40555555555555556</v>
      </c>
      <c r="F447" s="6">
        <f t="shared" si="17"/>
        <v>1.62</v>
      </c>
    </row>
    <row r="448" spans="1:6" x14ac:dyDescent="0.3">
      <c r="A448" s="4">
        <v>46051</v>
      </c>
      <c r="B448" s="1" t="s">
        <v>43</v>
      </c>
      <c r="C448" s="2">
        <v>0.28958333333333336</v>
      </c>
      <c r="D448" s="2">
        <v>0.58680555555555558</v>
      </c>
      <c r="E448" s="5">
        <f t="shared" si="16"/>
        <v>0.29722222222222222</v>
      </c>
      <c r="F448" s="6">
        <f t="shared" si="17"/>
        <v>1.19</v>
      </c>
    </row>
    <row r="449" spans="1:6" x14ac:dyDescent="0.3">
      <c r="A449" s="4">
        <v>46051</v>
      </c>
      <c r="B449" s="1" t="s">
        <v>34</v>
      </c>
      <c r="C449" s="2">
        <v>0.29583333333333334</v>
      </c>
      <c r="D449" s="2">
        <v>0.78611111111111109</v>
      </c>
      <c r="E449" s="5">
        <f t="shared" si="16"/>
        <v>0.49027777777777776</v>
      </c>
      <c r="F449" s="6">
        <f t="shared" si="17"/>
        <v>1.96</v>
      </c>
    </row>
    <row r="450" spans="1:6" x14ac:dyDescent="0.3">
      <c r="A450" s="4">
        <v>46051</v>
      </c>
      <c r="B450" s="1" t="s">
        <v>8</v>
      </c>
      <c r="C450" s="2">
        <v>0.29930555555555555</v>
      </c>
      <c r="D450" s="2">
        <v>0.67500000000000004</v>
      </c>
      <c r="E450" s="5">
        <f t="shared" si="16"/>
        <v>0.3756944444444445</v>
      </c>
      <c r="F450" s="6">
        <f t="shared" si="17"/>
        <v>1.5</v>
      </c>
    </row>
    <row r="451" spans="1:6" x14ac:dyDescent="0.3">
      <c r="A451" s="4">
        <v>46051</v>
      </c>
      <c r="B451" s="1" t="s">
        <v>29</v>
      </c>
      <c r="C451" s="2">
        <v>0.30694444444444446</v>
      </c>
      <c r="D451" s="2">
        <v>0.77152777777777781</v>
      </c>
      <c r="E451" s="5">
        <f t="shared" ref="E451:E514" si="18">D451-C451</f>
        <v>0.46458333333333335</v>
      </c>
      <c r="F451" s="6">
        <f t="shared" ref="F451:F514" si="19">ROUND(VALUE(E451)*4,2)</f>
        <v>1.86</v>
      </c>
    </row>
    <row r="452" spans="1:6" x14ac:dyDescent="0.3">
      <c r="A452" s="4">
        <v>46051</v>
      </c>
      <c r="B452" s="1" t="s">
        <v>4</v>
      </c>
      <c r="C452" s="2">
        <v>0.3125</v>
      </c>
      <c r="D452" s="2">
        <v>0.7944444444444444</v>
      </c>
      <c r="E452" s="5">
        <f t="shared" si="18"/>
        <v>0.4819444444444444</v>
      </c>
      <c r="F452" s="6">
        <f t="shared" si="19"/>
        <v>1.93</v>
      </c>
    </row>
    <row r="453" spans="1:6" x14ac:dyDescent="0.3">
      <c r="A453" s="4">
        <v>46051</v>
      </c>
      <c r="B453" s="1" t="s">
        <v>24</v>
      </c>
      <c r="C453" s="2">
        <v>0.31597222222222221</v>
      </c>
      <c r="D453" s="2">
        <v>0.80208333333333337</v>
      </c>
      <c r="E453" s="5">
        <f t="shared" si="18"/>
        <v>0.48611111111111116</v>
      </c>
      <c r="F453" s="6">
        <f t="shared" si="19"/>
        <v>1.94</v>
      </c>
    </row>
    <row r="454" spans="1:6" x14ac:dyDescent="0.3">
      <c r="A454" s="4">
        <v>46051</v>
      </c>
      <c r="B454" s="1" t="s">
        <v>33</v>
      </c>
      <c r="C454" s="2">
        <v>0.3125</v>
      </c>
      <c r="D454" s="2">
        <v>0.77083333333333337</v>
      </c>
      <c r="E454" s="5">
        <f t="shared" si="18"/>
        <v>0.45833333333333337</v>
      </c>
      <c r="F454" s="6">
        <f t="shared" si="19"/>
        <v>1.83</v>
      </c>
    </row>
    <row r="455" spans="1:6" x14ac:dyDescent="0.3">
      <c r="A455" s="4">
        <v>46051</v>
      </c>
      <c r="B455" s="1" t="s">
        <v>39</v>
      </c>
      <c r="C455" s="2">
        <v>0.33680555555555558</v>
      </c>
      <c r="D455" s="2">
        <v>0.80138888888888893</v>
      </c>
      <c r="E455" s="5">
        <f t="shared" si="18"/>
        <v>0.46458333333333335</v>
      </c>
      <c r="F455" s="6">
        <f t="shared" si="19"/>
        <v>1.86</v>
      </c>
    </row>
    <row r="456" spans="1:6" x14ac:dyDescent="0.3">
      <c r="A456" s="4">
        <v>46051</v>
      </c>
      <c r="B456" s="1" t="s">
        <v>51</v>
      </c>
      <c r="C456" s="2">
        <v>0.35625000000000001</v>
      </c>
      <c r="D456" s="2">
        <v>0.80486111111111114</v>
      </c>
      <c r="E456" s="5">
        <f t="shared" si="18"/>
        <v>0.44861111111111113</v>
      </c>
      <c r="F456" s="6">
        <f t="shared" si="19"/>
        <v>1.79</v>
      </c>
    </row>
    <row r="457" spans="1:6" x14ac:dyDescent="0.3">
      <c r="A457" s="4">
        <v>46051</v>
      </c>
      <c r="B457" s="1" t="s">
        <v>30</v>
      </c>
      <c r="C457" s="2">
        <v>0.52083333333333337</v>
      </c>
      <c r="D457" s="2">
        <v>0.6875</v>
      </c>
      <c r="E457" s="5">
        <f t="shared" si="18"/>
        <v>0.16666666666666663</v>
      </c>
      <c r="F457" s="6">
        <f t="shared" si="19"/>
        <v>0.67</v>
      </c>
    </row>
    <row r="458" spans="1:6" x14ac:dyDescent="0.3">
      <c r="A458" s="4">
        <v>46051</v>
      </c>
      <c r="B458" s="1" t="s">
        <v>38</v>
      </c>
      <c r="C458" s="2">
        <v>46051.787499999999</v>
      </c>
      <c r="D458" s="2">
        <v>46052.292361111111</v>
      </c>
      <c r="E458" s="5">
        <f t="shared" si="18"/>
        <v>0.50486111111240461</v>
      </c>
      <c r="F458" s="6">
        <f t="shared" si="19"/>
        <v>2.02</v>
      </c>
    </row>
    <row r="459" spans="1:6" x14ac:dyDescent="0.3">
      <c r="A459" s="4">
        <v>46051</v>
      </c>
      <c r="B459" s="1" t="s">
        <v>47</v>
      </c>
      <c r="C459" s="2">
        <v>46051.788194444445</v>
      </c>
      <c r="D459" s="2">
        <v>46052.290277777778</v>
      </c>
      <c r="E459" s="5">
        <f t="shared" si="18"/>
        <v>0.50208333333284827</v>
      </c>
      <c r="F459" s="6">
        <f t="shared" si="19"/>
        <v>2.0099999999999998</v>
      </c>
    </row>
    <row r="460" spans="1:6" x14ac:dyDescent="0.3">
      <c r="A460" s="4">
        <v>46051</v>
      </c>
      <c r="B460" s="1" t="s">
        <v>25</v>
      </c>
      <c r="C460" s="2">
        <v>0.35416666666666669</v>
      </c>
      <c r="D460" s="2">
        <v>0.82430555555555551</v>
      </c>
      <c r="E460" s="5">
        <f t="shared" si="18"/>
        <v>0.47013888888888883</v>
      </c>
      <c r="F460" s="6">
        <f t="shared" si="19"/>
        <v>1.88</v>
      </c>
    </row>
    <row r="461" spans="1:6" x14ac:dyDescent="0.3">
      <c r="A461" s="4">
        <v>46052</v>
      </c>
      <c r="B461" s="1" t="s">
        <v>29</v>
      </c>
      <c r="C461" s="2">
        <v>0.2388888888888889</v>
      </c>
      <c r="D461" s="2">
        <v>0.70208333333333328</v>
      </c>
      <c r="E461" s="5">
        <f t="shared" si="18"/>
        <v>0.46319444444444435</v>
      </c>
      <c r="F461" s="6">
        <f t="shared" si="19"/>
        <v>1.85</v>
      </c>
    </row>
    <row r="462" spans="1:6" x14ac:dyDescent="0.3">
      <c r="A462" s="4">
        <v>46052</v>
      </c>
      <c r="B462" s="1" t="s">
        <v>45</v>
      </c>
      <c r="C462" s="2">
        <v>0.25069444444444444</v>
      </c>
      <c r="D462" s="2">
        <v>0.69930555555555551</v>
      </c>
      <c r="E462" s="5">
        <f t="shared" si="18"/>
        <v>0.44861111111111107</v>
      </c>
      <c r="F462" s="6">
        <f t="shared" si="19"/>
        <v>1.79</v>
      </c>
    </row>
    <row r="463" spans="1:6" x14ac:dyDescent="0.3">
      <c r="A463" s="4">
        <v>46052</v>
      </c>
      <c r="B463" s="1" t="s">
        <v>4</v>
      </c>
      <c r="C463" s="2">
        <v>0.28819444444444442</v>
      </c>
      <c r="D463" s="2">
        <v>0.80208333333333337</v>
      </c>
      <c r="E463" s="5">
        <f t="shared" si="18"/>
        <v>0.51388888888888895</v>
      </c>
      <c r="F463" s="6">
        <f t="shared" si="19"/>
        <v>2.06</v>
      </c>
    </row>
    <row r="464" spans="1:6" x14ac:dyDescent="0.3">
      <c r="A464" s="4">
        <v>46052</v>
      </c>
      <c r="B464" s="1" t="s">
        <v>6</v>
      </c>
      <c r="C464" s="2">
        <v>0.29097222222222224</v>
      </c>
      <c r="D464" s="2">
        <v>0.46111111111111114</v>
      </c>
      <c r="E464" s="5">
        <f t="shared" si="18"/>
        <v>0.1701388888888889</v>
      </c>
      <c r="F464" s="6">
        <f t="shared" si="19"/>
        <v>0.68</v>
      </c>
    </row>
    <row r="465" spans="1:6" x14ac:dyDescent="0.3">
      <c r="A465" s="4">
        <v>46052</v>
      </c>
      <c r="B465" s="1" t="s">
        <v>27</v>
      </c>
      <c r="C465" s="2">
        <v>0.29097222222222224</v>
      </c>
      <c r="D465" s="2">
        <v>0.81111111111111112</v>
      </c>
      <c r="E465" s="5">
        <f t="shared" si="18"/>
        <v>0.52013888888888893</v>
      </c>
      <c r="F465" s="6">
        <f t="shared" si="19"/>
        <v>2.08</v>
      </c>
    </row>
    <row r="466" spans="1:6" x14ac:dyDescent="0.3">
      <c r="A466" s="4">
        <v>46052</v>
      </c>
      <c r="B466" s="1" t="s">
        <v>43</v>
      </c>
      <c r="C466" s="2">
        <v>0.29166666666666669</v>
      </c>
      <c r="D466" s="2">
        <v>0.82638888888888884</v>
      </c>
      <c r="E466" s="5">
        <f t="shared" si="18"/>
        <v>0.5347222222222221</v>
      </c>
      <c r="F466" s="6">
        <f t="shared" si="19"/>
        <v>2.14</v>
      </c>
    </row>
    <row r="467" spans="1:6" x14ac:dyDescent="0.3">
      <c r="A467" s="4">
        <v>46052</v>
      </c>
      <c r="B467" s="1" t="s">
        <v>32</v>
      </c>
      <c r="C467" s="2">
        <v>0.29444444444444445</v>
      </c>
      <c r="D467" s="2">
        <v>0.67708333333333337</v>
      </c>
      <c r="E467" s="5">
        <f t="shared" si="18"/>
        <v>0.38263888888888892</v>
      </c>
      <c r="F467" s="6">
        <f t="shared" si="19"/>
        <v>1.53</v>
      </c>
    </row>
    <row r="468" spans="1:6" x14ac:dyDescent="0.3">
      <c r="A468" s="4">
        <v>46052</v>
      </c>
      <c r="B468" s="1" t="s">
        <v>34</v>
      </c>
      <c r="C468" s="2">
        <v>0.29791666666666666</v>
      </c>
      <c r="D468" s="2">
        <v>0.82291666666666663</v>
      </c>
      <c r="E468" s="5">
        <f t="shared" si="18"/>
        <v>0.52499999999999991</v>
      </c>
      <c r="F468" s="6">
        <f t="shared" si="19"/>
        <v>2.1</v>
      </c>
    </row>
    <row r="469" spans="1:6" x14ac:dyDescent="0.3">
      <c r="A469" s="4">
        <v>46052</v>
      </c>
      <c r="B469" s="1" t="s">
        <v>41</v>
      </c>
      <c r="C469" s="2">
        <v>0.3</v>
      </c>
      <c r="D469" s="2">
        <v>0.68611111111111112</v>
      </c>
      <c r="E469" s="5">
        <f t="shared" si="18"/>
        <v>0.38611111111111113</v>
      </c>
      <c r="F469" s="6">
        <f t="shared" si="19"/>
        <v>1.54</v>
      </c>
    </row>
    <row r="470" spans="1:6" x14ac:dyDescent="0.3">
      <c r="A470" s="4">
        <v>46052</v>
      </c>
      <c r="B470" s="1" t="s">
        <v>37</v>
      </c>
      <c r="C470" s="2">
        <v>0.30833333333333335</v>
      </c>
      <c r="D470" s="2">
        <v>0.81805555555555554</v>
      </c>
      <c r="E470" s="5">
        <f t="shared" si="18"/>
        <v>0.50972222222222219</v>
      </c>
      <c r="F470" s="6">
        <f t="shared" si="19"/>
        <v>2.04</v>
      </c>
    </row>
    <row r="471" spans="1:6" x14ac:dyDescent="0.3">
      <c r="A471" s="4">
        <v>46052</v>
      </c>
      <c r="B471" s="1" t="s">
        <v>24</v>
      </c>
      <c r="C471" s="2">
        <v>0.31111111111111112</v>
      </c>
      <c r="D471" s="2">
        <v>0.55486111111111114</v>
      </c>
      <c r="E471" s="5">
        <f t="shared" si="18"/>
        <v>0.24375000000000002</v>
      </c>
      <c r="F471" s="6">
        <f t="shared" si="19"/>
        <v>0.98</v>
      </c>
    </row>
    <row r="472" spans="1:6" x14ac:dyDescent="0.3">
      <c r="A472" s="4">
        <v>46052</v>
      </c>
      <c r="B472" s="1" t="s">
        <v>46</v>
      </c>
      <c r="C472" s="2">
        <v>0.31111111111111112</v>
      </c>
      <c r="D472" s="2">
        <v>0.80347222222222225</v>
      </c>
      <c r="E472" s="5">
        <f t="shared" si="18"/>
        <v>0.49236111111111114</v>
      </c>
      <c r="F472" s="6">
        <f t="shared" si="19"/>
        <v>1.97</v>
      </c>
    </row>
    <row r="473" spans="1:6" x14ac:dyDescent="0.3">
      <c r="A473" s="4">
        <v>46052</v>
      </c>
      <c r="B473" s="1" t="s">
        <v>39</v>
      </c>
      <c r="C473" s="2">
        <v>0.3125</v>
      </c>
      <c r="D473" s="2">
        <v>0.82013888888888886</v>
      </c>
      <c r="E473" s="5">
        <f t="shared" si="18"/>
        <v>0.50763888888888886</v>
      </c>
      <c r="F473" s="6">
        <f t="shared" si="19"/>
        <v>2.0299999999999998</v>
      </c>
    </row>
    <row r="474" spans="1:6" x14ac:dyDescent="0.3">
      <c r="A474" s="4">
        <v>46052</v>
      </c>
      <c r="B474" s="1" t="s">
        <v>31</v>
      </c>
      <c r="C474" s="2">
        <v>0.3125</v>
      </c>
      <c r="D474" s="2">
        <v>0.88055555555555554</v>
      </c>
      <c r="E474" s="5">
        <f t="shared" si="18"/>
        <v>0.56805555555555554</v>
      </c>
      <c r="F474" s="6">
        <f t="shared" si="19"/>
        <v>2.27</v>
      </c>
    </row>
    <row r="475" spans="1:6" x14ac:dyDescent="0.3">
      <c r="A475" s="4">
        <v>46052</v>
      </c>
      <c r="B475" s="1" t="s">
        <v>5</v>
      </c>
      <c r="C475" s="2">
        <v>0.3125</v>
      </c>
      <c r="D475" s="2">
        <v>0.8</v>
      </c>
      <c r="E475" s="5">
        <f t="shared" si="18"/>
        <v>0.48750000000000004</v>
      </c>
      <c r="F475" s="6">
        <f t="shared" si="19"/>
        <v>1.95</v>
      </c>
    </row>
    <row r="476" spans="1:6" x14ac:dyDescent="0.3">
      <c r="A476" s="4">
        <v>46052</v>
      </c>
      <c r="B476" s="1" t="s">
        <v>35</v>
      </c>
      <c r="C476" s="2">
        <v>0.28125</v>
      </c>
      <c r="D476" s="2">
        <v>0.80833333333333335</v>
      </c>
      <c r="E476" s="5">
        <f t="shared" si="18"/>
        <v>0.52708333333333335</v>
      </c>
      <c r="F476" s="6">
        <f t="shared" si="19"/>
        <v>2.11</v>
      </c>
    </row>
    <row r="477" spans="1:6" x14ac:dyDescent="0.3">
      <c r="A477" s="4">
        <v>46052</v>
      </c>
      <c r="B477" s="1" t="s">
        <v>23</v>
      </c>
      <c r="C477" s="2">
        <v>0.34027777777777779</v>
      </c>
      <c r="D477" s="2">
        <v>0.7104166666666667</v>
      </c>
      <c r="E477" s="5">
        <f t="shared" si="18"/>
        <v>0.37013888888888891</v>
      </c>
      <c r="F477" s="6">
        <f t="shared" si="19"/>
        <v>1.48</v>
      </c>
    </row>
    <row r="478" spans="1:6" x14ac:dyDescent="0.3">
      <c r="A478" s="4">
        <v>46052</v>
      </c>
      <c r="B478" s="1" t="s">
        <v>40</v>
      </c>
      <c r="C478" s="2">
        <v>46052.793055555558</v>
      </c>
      <c r="D478" s="2">
        <v>46053.291666666664</v>
      </c>
      <c r="E478" s="5">
        <f t="shared" si="18"/>
        <v>0.49861111110658385</v>
      </c>
      <c r="F478" s="6">
        <f t="shared" si="19"/>
        <v>1.99</v>
      </c>
    </row>
    <row r="479" spans="1:6" x14ac:dyDescent="0.3">
      <c r="A479" s="4">
        <v>46052</v>
      </c>
      <c r="B479" s="1" t="s">
        <v>7</v>
      </c>
      <c r="C479" s="2">
        <v>46052.800694444442</v>
      </c>
      <c r="D479" s="2">
        <v>46053.299305555556</v>
      </c>
      <c r="E479" s="5">
        <f t="shared" si="18"/>
        <v>0.49861111111385981</v>
      </c>
      <c r="F479" s="6">
        <f t="shared" si="19"/>
        <v>1.99</v>
      </c>
    </row>
    <row r="480" spans="1:6" x14ac:dyDescent="0.3">
      <c r="A480" s="4">
        <v>46052</v>
      </c>
      <c r="B480" s="1" t="s">
        <v>43</v>
      </c>
      <c r="C480" s="2">
        <v>46052.904861111114</v>
      </c>
      <c r="D480" s="2">
        <v>46053.135416666664</v>
      </c>
      <c r="E480" s="5">
        <f t="shared" si="18"/>
        <v>0.23055555555038154</v>
      </c>
      <c r="F480" s="6">
        <f t="shared" si="19"/>
        <v>0.92</v>
      </c>
    </row>
    <row r="481" spans="1:50" x14ac:dyDescent="0.3">
      <c r="A481" s="4">
        <v>46053</v>
      </c>
      <c r="B481" s="1" t="s">
        <v>38</v>
      </c>
      <c r="C481" s="2">
        <v>0.23680555555555555</v>
      </c>
      <c r="D481" s="2">
        <v>0.52916666666666667</v>
      </c>
      <c r="E481" s="5">
        <f t="shared" si="18"/>
        <v>0.29236111111111113</v>
      </c>
      <c r="F481" s="6">
        <f t="shared" si="19"/>
        <v>1.17</v>
      </c>
    </row>
    <row r="482" spans="1:50" s="11" customFormat="1" x14ac:dyDescent="0.3">
      <c r="A482" s="4">
        <v>46053</v>
      </c>
      <c r="B482" s="1" t="s">
        <v>35</v>
      </c>
      <c r="C482" s="2">
        <v>0.28125</v>
      </c>
      <c r="D482" s="2">
        <v>0.82708333333333328</v>
      </c>
      <c r="E482" s="5">
        <f t="shared" si="18"/>
        <v>0.54583333333333328</v>
      </c>
      <c r="F482" s="6">
        <f t="shared" si="19"/>
        <v>2.1800000000000002</v>
      </c>
      <c r="G482" s="3"/>
      <c r="H482" s="10"/>
      <c r="AN482" s="18"/>
      <c r="AO482" s="18"/>
      <c r="AP482" s="18"/>
      <c r="AQ482" s="12"/>
      <c r="AR482" s="12"/>
      <c r="AS482" s="12"/>
      <c r="AT482" s="12"/>
      <c r="AU482" s="12"/>
      <c r="AV482" s="12"/>
      <c r="AW482" s="12"/>
      <c r="AX482" s="12"/>
    </row>
    <row r="483" spans="1:50" s="11" customFormat="1" x14ac:dyDescent="0.3">
      <c r="A483" s="4">
        <v>46053</v>
      </c>
      <c r="B483" s="1" t="s">
        <v>8</v>
      </c>
      <c r="C483" s="2">
        <v>0.28819444444444442</v>
      </c>
      <c r="D483" s="2">
        <v>0.77916666666666667</v>
      </c>
      <c r="E483" s="5">
        <f t="shared" si="18"/>
        <v>0.49097222222222225</v>
      </c>
      <c r="F483" s="6">
        <f t="shared" si="19"/>
        <v>1.96</v>
      </c>
      <c r="G483" s="3"/>
      <c r="H483" s="10"/>
      <c r="AN483" s="18"/>
      <c r="AO483" s="18"/>
      <c r="AP483" s="18"/>
      <c r="AQ483" s="12"/>
      <c r="AR483" s="12"/>
      <c r="AS483" s="12"/>
      <c r="AT483" s="12"/>
      <c r="AU483" s="12"/>
      <c r="AV483" s="12"/>
      <c r="AW483" s="12"/>
      <c r="AX483" s="12"/>
    </row>
    <row r="484" spans="1:50" s="11" customFormat="1" x14ac:dyDescent="0.3">
      <c r="A484" s="4">
        <v>46053</v>
      </c>
      <c r="B484" s="1" t="s">
        <v>24</v>
      </c>
      <c r="C484" s="2">
        <v>0.29375000000000001</v>
      </c>
      <c r="D484" s="2">
        <v>0.57499999999999996</v>
      </c>
      <c r="E484" s="5">
        <f t="shared" si="18"/>
        <v>0.28124999999999994</v>
      </c>
      <c r="F484" s="6">
        <f t="shared" si="19"/>
        <v>1.1299999999999999</v>
      </c>
      <c r="G484" s="3"/>
      <c r="H484" s="10"/>
      <c r="AN484" s="18"/>
      <c r="AO484" s="18"/>
      <c r="AP484" s="18"/>
      <c r="AQ484" s="12"/>
      <c r="AR484" s="12"/>
      <c r="AS484" s="12"/>
      <c r="AT484" s="12"/>
      <c r="AU484" s="12"/>
      <c r="AV484" s="12"/>
      <c r="AW484" s="12"/>
      <c r="AX484" s="12"/>
    </row>
    <row r="485" spans="1:50" s="11" customFormat="1" x14ac:dyDescent="0.3">
      <c r="A485" s="4">
        <v>46053</v>
      </c>
      <c r="B485" s="1" t="s">
        <v>5</v>
      </c>
      <c r="C485" s="2">
        <v>0.29305555555555557</v>
      </c>
      <c r="D485" s="2">
        <v>0.81041666666666667</v>
      </c>
      <c r="E485" s="5">
        <f t="shared" si="18"/>
        <v>0.51736111111111116</v>
      </c>
      <c r="F485" s="6">
        <f t="shared" si="19"/>
        <v>2.0699999999999998</v>
      </c>
      <c r="G485" s="3"/>
      <c r="H485" s="10"/>
      <c r="AN485" s="18"/>
      <c r="AO485" s="18"/>
      <c r="AP485" s="18"/>
      <c r="AQ485" s="12"/>
      <c r="AR485" s="12"/>
      <c r="AS485" s="12"/>
      <c r="AT485" s="12"/>
      <c r="AU485" s="12"/>
      <c r="AV485" s="12"/>
      <c r="AW485" s="12"/>
      <c r="AX485" s="12"/>
    </row>
    <row r="486" spans="1:50" s="11" customFormat="1" x14ac:dyDescent="0.3">
      <c r="A486" s="4">
        <v>46053</v>
      </c>
      <c r="B486" s="1" t="s">
        <v>31</v>
      </c>
      <c r="C486" s="2">
        <v>0.29444444444444445</v>
      </c>
      <c r="D486" s="2">
        <v>0.4284722222222222</v>
      </c>
      <c r="E486" s="5">
        <f t="shared" si="18"/>
        <v>0.13402777777777775</v>
      </c>
      <c r="F486" s="6">
        <f t="shared" si="19"/>
        <v>0.54</v>
      </c>
      <c r="G486" s="3"/>
      <c r="H486" s="22"/>
      <c r="I486" s="23"/>
      <c r="AN486" s="18"/>
      <c r="AO486" s="18"/>
      <c r="AP486" s="18"/>
      <c r="AQ486" s="12"/>
      <c r="AR486" s="12"/>
      <c r="AS486" s="12"/>
      <c r="AT486" s="12"/>
      <c r="AU486" s="12"/>
      <c r="AV486" s="12"/>
      <c r="AW486" s="12"/>
      <c r="AX486" s="12"/>
    </row>
    <row r="487" spans="1:50" s="11" customFormat="1" x14ac:dyDescent="0.3">
      <c r="A487" s="4">
        <v>46053</v>
      </c>
      <c r="B487" s="1" t="s">
        <v>33</v>
      </c>
      <c r="C487" s="2">
        <v>0.23958333333333334</v>
      </c>
      <c r="D487" s="2">
        <v>0.52916666666666667</v>
      </c>
      <c r="E487" s="5">
        <f t="shared" si="18"/>
        <v>0.2895833333333333</v>
      </c>
      <c r="F487" s="6">
        <f t="shared" si="19"/>
        <v>1.1599999999999999</v>
      </c>
      <c r="G487" s="3"/>
      <c r="H487" s="10"/>
      <c r="AN487" s="18"/>
      <c r="AO487" s="18"/>
      <c r="AP487" s="18"/>
      <c r="AQ487" s="12"/>
      <c r="AR487" s="12"/>
      <c r="AS487" s="12"/>
      <c r="AT487" s="12"/>
      <c r="AU487" s="12"/>
      <c r="AV487" s="12"/>
      <c r="AW487" s="12"/>
      <c r="AX487" s="12"/>
    </row>
    <row r="488" spans="1:50" s="11" customFormat="1" x14ac:dyDescent="0.3">
      <c r="A488" s="4">
        <v>46053</v>
      </c>
      <c r="B488" s="1" t="s">
        <v>4</v>
      </c>
      <c r="C488" s="2">
        <v>0.31388888888888888</v>
      </c>
      <c r="D488" s="2">
        <v>0.79722222222222228</v>
      </c>
      <c r="E488" s="5">
        <f t="shared" si="18"/>
        <v>0.48333333333333339</v>
      </c>
      <c r="F488" s="6">
        <f t="shared" si="19"/>
        <v>1.93</v>
      </c>
      <c r="G488" s="3"/>
      <c r="H488" s="10"/>
      <c r="AN488" s="18"/>
      <c r="AO488" s="18"/>
      <c r="AP488" s="18"/>
      <c r="AQ488" s="12"/>
      <c r="AR488" s="12"/>
      <c r="AS488" s="12"/>
      <c r="AT488" s="12"/>
      <c r="AU488" s="12"/>
      <c r="AV488" s="12"/>
      <c r="AW488" s="12"/>
      <c r="AX488" s="12"/>
    </row>
    <row r="489" spans="1:50" s="11" customFormat="1" x14ac:dyDescent="0.3">
      <c r="A489" s="4">
        <v>46053</v>
      </c>
      <c r="B489" s="1" t="s">
        <v>41</v>
      </c>
      <c r="C489" s="2">
        <v>0.31944444444444442</v>
      </c>
      <c r="D489" s="2">
        <v>0.47499999999999998</v>
      </c>
      <c r="E489" s="5">
        <f t="shared" si="18"/>
        <v>0.15555555555555556</v>
      </c>
      <c r="F489" s="6">
        <f t="shared" si="19"/>
        <v>0.62</v>
      </c>
      <c r="G489" s="3"/>
      <c r="H489" s="10"/>
      <c r="AN489" s="18"/>
      <c r="AO489" s="18"/>
      <c r="AP489" s="18"/>
      <c r="AQ489" s="12"/>
      <c r="AR489" s="12"/>
      <c r="AS489" s="12"/>
      <c r="AT489" s="12"/>
      <c r="AU489" s="12"/>
      <c r="AV489" s="12"/>
      <c r="AW489" s="12"/>
      <c r="AX489" s="12"/>
    </row>
    <row r="490" spans="1:50" s="11" customFormat="1" x14ac:dyDescent="0.3">
      <c r="A490" s="4">
        <v>46053</v>
      </c>
      <c r="B490" s="1" t="s">
        <v>63</v>
      </c>
      <c r="C490" s="2">
        <v>0.34444444444444444</v>
      </c>
      <c r="D490" s="2">
        <v>0.55625000000000002</v>
      </c>
      <c r="E490" s="5">
        <f t="shared" si="18"/>
        <v>0.21180555555555558</v>
      </c>
      <c r="F490" s="6">
        <f t="shared" si="19"/>
        <v>0.85</v>
      </c>
      <c r="G490" s="3"/>
      <c r="H490" s="10"/>
      <c r="AN490" s="18"/>
      <c r="AO490" s="18"/>
      <c r="AP490" s="18"/>
      <c r="AQ490" s="12"/>
      <c r="AR490" s="12"/>
      <c r="AS490" s="12"/>
      <c r="AT490" s="12"/>
      <c r="AU490" s="12"/>
      <c r="AV490" s="12"/>
      <c r="AW490" s="12"/>
      <c r="AX490" s="12"/>
    </row>
    <row r="491" spans="1:50" s="11" customFormat="1" x14ac:dyDescent="0.3">
      <c r="A491" s="4">
        <v>46053</v>
      </c>
      <c r="B491" s="1" t="s">
        <v>51</v>
      </c>
      <c r="C491" s="2">
        <v>0.34791666666666665</v>
      </c>
      <c r="D491" s="2">
        <v>0.57499999999999996</v>
      </c>
      <c r="E491" s="5">
        <f t="shared" si="18"/>
        <v>0.2270833333333333</v>
      </c>
      <c r="F491" s="6">
        <f t="shared" si="19"/>
        <v>0.91</v>
      </c>
      <c r="G491" s="3"/>
      <c r="H491" s="10"/>
      <c r="AN491" s="18"/>
      <c r="AO491" s="18"/>
      <c r="AP491" s="18"/>
      <c r="AQ491" s="12"/>
      <c r="AR491" s="12"/>
      <c r="AS491" s="12"/>
      <c r="AT491" s="12"/>
      <c r="AU491" s="12"/>
      <c r="AV491" s="12"/>
      <c r="AW491" s="12"/>
      <c r="AX491" s="12"/>
    </row>
    <row r="492" spans="1:50" s="11" customFormat="1" x14ac:dyDescent="0.3">
      <c r="A492" s="4">
        <v>46053</v>
      </c>
      <c r="B492" s="1" t="s">
        <v>36</v>
      </c>
      <c r="C492" s="2">
        <v>0.47569444444444442</v>
      </c>
      <c r="D492" s="2">
        <v>0.58402777777777781</v>
      </c>
      <c r="E492" s="5">
        <f t="shared" si="18"/>
        <v>0.10833333333333339</v>
      </c>
      <c r="F492" s="6">
        <f t="shared" si="19"/>
        <v>0.43</v>
      </c>
      <c r="G492" s="3"/>
      <c r="H492" s="10"/>
      <c r="AN492" s="18"/>
      <c r="AO492" s="18"/>
      <c r="AP492" s="18"/>
      <c r="AQ492" s="12"/>
      <c r="AR492" s="12"/>
      <c r="AS492" s="12"/>
      <c r="AT492" s="12"/>
      <c r="AU492" s="12"/>
      <c r="AV492" s="12"/>
      <c r="AW492" s="12"/>
      <c r="AX492" s="12"/>
    </row>
    <row r="493" spans="1:50" s="11" customFormat="1" x14ac:dyDescent="0.3">
      <c r="A493" s="4">
        <v>46053</v>
      </c>
      <c r="B493" s="1" t="s">
        <v>51</v>
      </c>
      <c r="C493" s="2">
        <v>0.65625</v>
      </c>
      <c r="D493" s="2">
        <v>0.76944444444444449</v>
      </c>
      <c r="E493" s="5">
        <f t="shared" si="18"/>
        <v>0.11319444444444449</v>
      </c>
      <c r="F493" s="6">
        <f t="shared" si="19"/>
        <v>0.45</v>
      </c>
      <c r="G493" s="3"/>
      <c r="H493" s="10"/>
      <c r="AN493" s="18"/>
      <c r="AO493" s="18"/>
      <c r="AP493" s="18"/>
      <c r="AQ493" s="12"/>
      <c r="AR493" s="12"/>
      <c r="AS493" s="12"/>
      <c r="AT493" s="12"/>
      <c r="AU493" s="12"/>
      <c r="AV493" s="12"/>
      <c r="AW493" s="12"/>
      <c r="AX493" s="12"/>
    </row>
    <row r="494" spans="1:50" s="11" customFormat="1" x14ac:dyDescent="0.3">
      <c r="A494" s="4">
        <v>46053</v>
      </c>
      <c r="B494" s="1" t="s">
        <v>46</v>
      </c>
      <c r="C494" s="2">
        <v>46053.790972222225</v>
      </c>
      <c r="D494" s="2">
        <v>46054.322916666664</v>
      </c>
      <c r="E494" s="5">
        <f t="shared" si="18"/>
        <v>0.53194444443943212</v>
      </c>
      <c r="F494" s="6">
        <f t="shared" si="19"/>
        <v>2.13</v>
      </c>
      <c r="G494" s="3"/>
      <c r="H494" s="10"/>
      <c r="AN494" s="18"/>
      <c r="AO494" s="18"/>
      <c r="AP494" s="18"/>
      <c r="AQ494" s="12"/>
      <c r="AR494" s="12"/>
      <c r="AS494" s="12"/>
      <c r="AT494" s="12"/>
      <c r="AU494" s="12"/>
      <c r="AV494" s="12"/>
      <c r="AW494" s="12"/>
      <c r="AX494" s="12"/>
    </row>
    <row r="495" spans="1:50" s="11" customFormat="1" x14ac:dyDescent="0.3">
      <c r="A495" s="4">
        <v>46053</v>
      </c>
      <c r="B495" s="1" t="s">
        <v>45</v>
      </c>
      <c r="C495" s="2">
        <v>46053.795138888891</v>
      </c>
      <c r="D495" s="2">
        <v>46054.367361111108</v>
      </c>
      <c r="E495" s="5">
        <f t="shared" si="18"/>
        <v>0.57222222221753327</v>
      </c>
      <c r="F495" s="6">
        <f t="shared" si="19"/>
        <v>2.29</v>
      </c>
      <c r="G495" s="3"/>
      <c r="H495" s="10"/>
      <c r="AN495" s="18"/>
      <c r="AO495" s="18"/>
      <c r="AP495" s="18"/>
      <c r="AQ495" s="12"/>
      <c r="AR495" s="12"/>
      <c r="AS495" s="12"/>
      <c r="AT495" s="12"/>
      <c r="AU495" s="12"/>
      <c r="AV495" s="12"/>
      <c r="AW495" s="12"/>
      <c r="AX495" s="12"/>
    </row>
    <row r="496" spans="1:50" s="11" customFormat="1" x14ac:dyDescent="0.3">
      <c r="A496" s="4"/>
      <c r="B496" s="1"/>
      <c r="C496" s="2"/>
      <c r="D496" s="2"/>
      <c r="E496" s="5">
        <f t="shared" si="18"/>
        <v>0</v>
      </c>
      <c r="F496" s="6">
        <f t="shared" si="19"/>
        <v>0</v>
      </c>
      <c r="G496" s="3"/>
      <c r="H496" s="10"/>
      <c r="AN496" s="18"/>
      <c r="AO496" s="18"/>
      <c r="AP496" s="18"/>
      <c r="AQ496" s="12"/>
      <c r="AR496" s="12"/>
      <c r="AS496" s="12"/>
      <c r="AT496" s="12"/>
      <c r="AU496" s="12"/>
      <c r="AV496" s="12"/>
      <c r="AW496" s="12"/>
      <c r="AX496" s="12"/>
    </row>
    <row r="497" spans="1:50" s="11" customFormat="1" x14ac:dyDescent="0.3">
      <c r="A497" s="4"/>
      <c r="B497" s="1"/>
      <c r="C497" s="2"/>
      <c r="D497" s="2"/>
      <c r="E497" s="5">
        <f t="shared" si="18"/>
        <v>0</v>
      </c>
      <c r="F497" s="6">
        <f t="shared" si="19"/>
        <v>0</v>
      </c>
      <c r="G497" s="3"/>
      <c r="H497" s="10"/>
      <c r="AN497" s="18"/>
      <c r="AO497" s="18"/>
      <c r="AP497" s="18"/>
      <c r="AQ497" s="12"/>
      <c r="AR497" s="12"/>
      <c r="AS497" s="12"/>
      <c r="AT497" s="12"/>
      <c r="AU497" s="12"/>
      <c r="AV497" s="12"/>
      <c r="AW497" s="12"/>
      <c r="AX497" s="12"/>
    </row>
    <row r="498" spans="1:50" x14ac:dyDescent="0.3">
      <c r="A498" s="4"/>
      <c r="B498" s="1"/>
      <c r="C498" s="2"/>
      <c r="D498" s="2"/>
      <c r="E498" s="5">
        <f t="shared" si="18"/>
        <v>0</v>
      </c>
      <c r="F498" s="6">
        <f t="shared" si="19"/>
        <v>0</v>
      </c>
    </row>
    <row r="499" spans="1:50" x14ac:dyDescent="0.3">
      <c r="A499" s="4"/>
      <c r="B499" s="1"/>
      <c r="C499" s="2"/>
      <c r="D499" s="2"/>
      <c r="E499" s="5">
        <f t="shared" si="18"/>
        <v>0</v>
      </c>
      <c r="F499" s="6">
        <f t="shared" si="19"/>
        <v>0</v>
      </c>
    </row>
    <row r="500" spans="1:50" x14ac:dyDescent="0.3">
      <c r="A500" s="4"/>
      <c r="B500" s="1"/>
      <c r="C500" s="2"/>
      <c r="D500" s="2"/>
      <c r="E500" s="5">
        <f t="shared" si="18"/>
        <v>0</v>
      </c>
      <c r="F500" s="6">
        <f t="shared" si="19"/>
        <v>0</v>
      </c>
    </row>
    <row r="501" spans="1:50" x14ac:dyDescent="0.3">
      <c r="A501" s="4"/>
      <c r="B501" s="1"/>
      <c r="C501" s="2"/>
      <c r="D501" s="2"/>
      <c r="E501" s="5">
        <f t="shared" si="18"/>
        <v>0</v>
      </c>
      <c r="F501" s="6">
        <f t="shared" si="19"/>
        <v>0</v>
      </c>
    </row>
    <row r="502" spans="1:50" x14ac:dyDescent="0.3">
      <c r="A502" s="4"/>
      <c r="B502" s="1"/>
      <c r="C502" s="2"/>
      <c r="D502" s="2"/>
      <c r="E502" s="5">
        <f t="shared" si="18"/>
        <v>0</v>
      </c>
      <c r="F502" s="6">
        <f t="shared" si="19"/>
        <v>0</v>
      </c>
    </row>
    <row r="503" spans="1:50" x14ac:dyDescent="0.3">
      <c r="A503" s="4"/>
      <c r="B503" s="1"/>
      <c r="C503" s="2"/>
      <c r="D503" s="2"/>
      <c r="E503" s="5">
        <f t="shared" si="18"/>
        <v>0</v>
      </c>
      <c r="F503" s="6">
        <f t="shared" si="19"/>
        <v>0</v>
      </c>
    </row>
    <row r="504" spans="1:50" x14ac:dyDescent="0.3">
      <c r="A504" s="4"/>
      <c r="B504" s="1"/>
      <c r="C504" s="2"/>
      <c r="D504" s="2"/>
      <c r="E504" s="5">
        <f t="shared" si="18"/>
        <v>0</v>
      </c>
      <c r="F504" s="6">
        <f t="shared" si="19"/>
        <v>0</v>
      </c>
    </row>
    <row r="505" spans="1:50" x14ac:dyDescent="0.3">
      <c r="A505" s="4"/>
      <c r="B505" s="1"/>
      <c r="C505" s="2"/>
      <c r="D505" s="2"/>
      <c r="E505" s="5">
        <f t="shared" si="18"/>
        <v>0</v>
      </c>
      <c r="F505" s="6">
        <f t="shared" si="19"/>
        <v>0</v>
      </c>
    </row>
    <row r="506" spans="1:50" x14ac:dyDescent="0.3">
      <c r="A506" s="4"/>
      <c r="B506" s="1"/>
      <c r="C506" s="2"/>
      <c r="D506" s="2"/>
      <c r="E506" s="5">
        <f t="shared" si="18"/>
        <v>0</v>
      </c>
      <c r="F506" s="6">
        <f t="shared" si="19"/>
        <v>0</v>
      </c>
    </row>
    <row r="507" spans="1:50" x14ac:dyDescent="0.3">
      <c r="A507" s="4"/>
      <c r="B507" s="1"/>
      <c r="C507" s="2"/>
      <c r="D507" s="2"/>
      <c r="E507" s="5">
        <f t="shared" si="18"/>
        <v>0</v>
      </c>
      <c r="F507" s="6">
        <f t="shared" si="19"/>
        <v>0</v>
      </c>
    </row>
    <row r="508" spans="1:50" x14ac:dyDescent="0.3">
      <c r="A508" s="4"/>
      <c r="B508" s="1"/>
      <c r="C508" s="2"/>
      <c r="D508" s="2"/>
      <c r="E508" s="5">
        <f t="shared" si="18"/>
        <v>0</v>
      </c>
      <c r="F508" s="6">
        <f t="shared" si="19"/>
        <v>0</v>
      </c>
    </row>
    <row r="509" spans="1:50" x14ac:dyDescent="0.3">
      <c r="A509" s="4"/>
      <c r="B509" s="1"/>
      <c r="C509" s="2"/>
      <c r="D509" s="2"/>
      <c r="E509" s="5">
        <f t="shared" si="18"/>
        <v>0</v>
      </c>
      <c r="F509" s="6">
        <f t="shared" si="19"/>
        <v>0</v>
      </c>
    </row>
    <row r="510" spans="1:50" x14ac:dyDescent="0.3">
      <c r="A510" s="4"/>
      <c r="B510" s="1"/>
      <c r="C510" s="2"/>
      <c r="D510" s="2"/>
      <c r="E510" s="5">
        <f t="shared" si="18"/>
        <v>0</v>
      </c>
      <c r="F510" s="6">
        <f t="shared" si="19"/>
        <v>0</v>
      </c>
    </row>
    <row r="511" spans="1:50" x14ac:dyDescent="0.3">
      <c r="A511" s="4"/>
      <c r="B511" s="1"/>
      <c r="C511" s="2"/>
      <c r="D511" s="2"/>
      <c r="E511" s="5">
        <f t="shared" si="18"/>
        <v>0</v>
      </c>
      <c r="F511" s="6">
        <f t="shared" si="19"/>
        <v>0</v>
      </c>
    </row>
    <row r="512" spans="1:50" x14ac:dyDescent="0.3">
      <c r="A512" s="4"/>
      <c r="B512" s="1"/>
      <c r="C512" s="2"/>
      <c r="D512" s="2"/>
      <c r="E512" s="5">
        <f t="shared" si="18"/>
        <v>0</v>
      </c>
      <c r="F512" s="6">
        <f t="shared" si="19"/>
        <v>0</v>
      </c>
    </row>
    <row r="513" spans="1:6" x14ac:dyDescent="0.3">
      <c r="A513" s="4"/>
      <c r="B513" s="1"/>
      <c r="C513" s="2"/>
      <c r="D513" s="2"/>
      <c r="E513" s="5">
        <f t="shared" si="18"/>
        <v>0</v>
      </c>
      <c r="F513" s="6">
        <f t="shared" si="19"/>
        <v>0</v>
      </c>
    </row>
    <row r="514" spans="1:6" x14ac:dyDescent="0.3">
      <c r="A514" s="4"/>
      <c r="B514" s="1"/>
      <c r="C514" s="2"/>
      <c r="D514" s="2"/>
      <c r="E514" s="5">
        <f t="shared" si="18"/>
        <v>0</v>
      </c>
      <c r="F514" s="6">
        <f t="shared" si="19"/>
        <v>0</v>
      </c>
    </row>
    <row r="515" spans="1:6" x14ac:dyDescent="0.3">
      <c r="A515" s="4"/>
      <c r="B515" s="1"/>
      <c r="C515" s="2"/>
      <c r="D515" s="2"/>
      <c r="E515" s="5">
        <f t="shared" ref="E515:E578" si="20">D515-C515</f>
        <v>0</v>
      </c>
      <c r="F515" s="6">
        <f t="shared" ref="F515:F578" si="21">ROUND(VALUE(E515)*4,2)</f>
        <v>0</v>
      </c>
    </row>
    <row r="516" spans="1:6" x14ac:dyDescent="0.3">
      <c r="A516" s="4"/>
      <c r="B516" s="1"/>
      <c r="C516" s="2"/>
      <c r="D516" s="2"/>
      <c r="E516" s="5">
        <f t="shared" si="20"/>
        <v>0</v>
      </c>
      <c r="F516" s="6">
        <f t="shared" si="21"/>
        <v>0</v>
      </c>
    </row>
    <row r="517" spans="1:6" x14ac:dyDescent="0.3">
      <c r="A517" s="4"/>
      <c r="B517" s="1"/>
      <c r="C517" s="2"/>
      <c r="D517" s="2"/>
      <c r="E517" s="5">
        <f t="shared" si="20"/>
        <v>0</v>
      </c>
      <c r="F517" s="6">
        <f t="shared" si="21"/>
        <v>0</v>
      </c>
    </row>
    <row r="518" spans="1:6" x14ac:dyDescent="0.3">
      <c r="A518" s="4"/>
      <c r="B518" s="1"/>
      <c r="C518" s="2"/>
      <c r="D518" s="2"/>
      <c r="E518" s="5">
        <f t="shared" si="20"/>
        <v>0</v>
      </c>
      <c r="F518" s="6">
        <f t="shared" si="21"/>
        <v>0</v>
      </c>
    </row>
    <row r="519" spans="1:6" x14ac:dyDescent="0.3">
      <c r="A519" s="4"/>
      <c r="B519" s="1"/>
      <c r="C519" s="2"/>
      <c r="D519" s="2"/>
      <c r="E519" s="5">
        <f t="shared" si="20"/>
        <v>0</v>
      </c>
      <c r="F519" s="6">
        <f t="shared" si="21"/>
        <v>0</v>
      </c>
    </row>
    <row r="520" spans="1:6" x14ac:dyDescent="0.3">
      <c r="A520" s="4"/>
      <c r="B520" s="1"/>
      <c r="C520" s="2"/>
      <c r="D520" s="2"/>
      <c r="E520" s="5">
        <f t="shared" si="20"/>
        <v>0</v>
      </c>
      <c r="F520" s="6">
        <f t="shared" si="21"/>
        <v>0</v>
      </c>
    </row>
    <row r="521" spans="1:6" x14ac:dyDescent="0.3">
      <c r="A521" s="4"/>
      <c r="B521" s="1"/>
      <c r="C521" s="2"/>
      <c r="D521" s="2"/>
      <c r="E521" s="5">
        <f t="shared" si="20"/>
        <v>0</v>
      </c>
      <c r="F521" s="6">
        <f t="shared" si="21"/>
        <v>0</v>
      </c>
    </row>
    <row r="522" spans="1:6" x14ac:dyDescent="0.3">
      <c r="A522" s="4"/>
      <c r="B522" s="1"/>
      <c r="C522" s="2"/>
      <c r="D522" s="2"/>
      <c r="E522" s="5">
        <f t="shared" si="20"/>
        <v>0</v>
      </c>
      <c r="F522" s="6">
        <f t="shared" si="21"/>
        <v>0</v>
      </c>
    </row>
    <row r="523" spans="1:6" x14ac:dyDescent="0.3">
      <c r="A523" s="4"/>
      <c r="B523" s="1"/>
      <c r="C523" s="2"/>
      <c r="D523" s="2"/>
      <c r="E523" s="5">
        <f t="shared" si="20"/>
        <v>0</v>
      </c>
      <c r="F523" s="6">
        <f t="shared" si="21"/>
        <v>0</v>
      </c>
    </row>
    <row r="524" spans="1:6" x14ac:dyDescent="0.3">
      <c r="A524" s="4"/>
      <c r="B524" s="1"/>
      <c r="C524" s="2"/>
      <c r="D524" s="2"/>
      <c r="E524" s="5">
        <f t="shared" si="20"/>
        <v>0</v>
      </c>
      <c r="F524" s="6">
        <f t="shared" si="21"/>
        <v>0</v>
      </c>
    </row>
    <row r="525" spans="1:6" x14ac:dyDescent="0.3">
      <c r="A525" s="4"/>
      <c r="B525" s="1"/>
      <c r="C525" s="2"/>
      <c r="D525" s="2"/>
      <c r="E525" s="5">
        <f t="shared" si="20"/>
        <v>0</v>
      </c>
      <c r="F525" s="6">
        <f t="shared" si="21"/>
        <v>0</v>
      </c>
    </row>
    <row r="526" spans="1:6" x14ac:dyDescent="0.3">
      <c r="A526" s="4"/>
      <c r="B526" s="1"/>
      <c r="C526" s="2"/>
      <c r="D526" s="2"/>
      <c r="E526" s="5">
        <f t="shared" si="20"/>
        <v>0</v>
      </c>
      <c r="F526" s="6">
        <f t="shared" si="21"/>
        <v>0</v>
      </c>
    </row>
    <row r="527" spans="1:6" x14ac:dyDescent="0.3">
      <c r="A527" s="4"/>
      <c r="B527" s="1"/>
      <c r="C527" s="2"/>
      <c r="D527" s="2"/>
      <c r="E527" s="5">
        <f t="shared" si="20"/>
        <v>0</v>
      </c>
      <c r="F527" s="6">
        <f t="shared" si="21"/>
        <v>0</v>
      </c>
    </row>
    <row r="528" spans="1:6" x14ac:dyDescent="0.3">
      <c r="A528" s="4"/>
      <c r="B528" s="1"/>
      <c r="C528" s="2"/>
      <c r="D528" s="2"/>
      <c r="E528" s="5">
        <f t="shared" si="20"/>
        <v>0</v>
      </c>
      <c r="F528" s="6">
        <f t="shared" si="21"/>
        <v>0</v>
      </c>
    </row>
    <row r="529" spans="1:6" x14ac:dyDescent="0.3">
      <c r="A529" s="4"/>
      <c r="B529" s="1"/>
      <c r="C529" s="2"/>
      <c r="D529" s="2"/>
      <c r="E529" s="5">
        <f t="shared" si="20"/>
        <v>0</v>
      </c>
      <c r="F529" s="6">
        <f t="shared" si="21"/>
        <v>0</v>
      </c>
    </row>
    <row r="530" spans="1:6" x14ac:dyDescent="0.3">
      <c r="A530" s="4"/>
      <c r="B530" s="1"/>
      <c r="C530" s="2"/>
      <c r="D530" s="2"/>
      <c r="E530" s="5">
        <f t="shared" si="20"/>
        <v>0</v>
      </c>
      <c r="F530" s="6">
        <f t="shared" si="21"/>
        <v>0</v>
      </c>
    </row>
    <row r="531" spans="1:6" x14ac:dyDescent="0.3">
      <c r="A531" s="4"/>
      <c r="B531" s="1"/>
      <c r="C531" s="2"/>
      <c r="D531" s="2"/>
      <c r="E531" s="5">
        <f t="shared" si="20"/>
        <v>0</v>
      </c>
      <c r="F531" s="6">
        <f t="shared" si="21"/>
        <v>0</v>
      </c>
    </row>
    <row r="532" spans="1:6" x14ac:dyDescent="0.3">
      <c r="A532" s="4"/>
      <c r="B532" s="1"/>
      <c r="C532" s="2"/>
      <c r="D532" s="2"/>
      <c r="E532" s="5">
        <f t="shared" si="20"/>
        <v>0</v>
      </c>
      <c r="F532" s="6">
        <f t="shared" si="21"/>
        <v>0</v>
      </c>
    </row>
    <row r="533" spans="1:6" x14ac:dyDescent="0.3">
      <c r="A533" s="4"/>
      <c r="B533" s="1"/>
      <c r="C533" s="2"/>
      <c r="D533" s="2"/>
      <c r="E533" s="5">
        <f t="shared" si="20"/>
        <v>0</v>
      </c>
      <c r="F533" s="6">
        <f t="shared" si="21"/>
        <v>0</v>
      </c>
    </row>
    <row r="534" spans="1:6" x14ac:dyDescent="0.3">
      <c r="A534" s="4"/>
      <c r="B534" s="1"/>
      <c r="C534" s="2"/>
      <c r="D534" s="2"/>
      <c r="E534" s="5">
        <f t="shared" si="20"/>
        <v>0</v>
      </c>
      <c r="F534" s="6">
        <f t="shared" si="21"/>
        <v>0</v>
      </c>
    </row>
    <row r="535" spans="1:6" x14ac:dyDescent="0.3">
      <c r="A535" s="4"/>
      <c r="B535" s="1"/>
      <c r="C535" s="2"/>
      <c r="D535" s="2"/>
      <c r="E535" s="5">
        <f t="shared" si="20"/>
        <v>0</v>
      </c>
      <c r="F535" s="6">
        <f t="shared" si="21"/>
        <v>0</v>
      </c>
    </row>
    <row r="536" spans="1:6" x14ac:dyDescent="0.3">
      <c r="A536" s="4"/>
      <c r="B536" s="1"/>
      <c r="C536" s="2"/>
      <c r="D536" s="2"/>
      <c r="E536" s="5">
        <f t="shared" si="20"/>
        <v>0</v>
      </c>
      <c r="F536" s="6">
        <f t="shared" si="21"/>
        <v>0</v>
      </c>
    </row>
    <row r="537" spans="1:6" x14ac:dyDescent="0.3">
      <c r="A537" s="4"/>
      <c r="B537" s="1"/>
      <c r="C537" s="2"/>
      <c r="D537" s="2"/>
      <c r="E537" s="5">
        <f t="shared" si="20"/>
        <v>0</v>
      </c>
      <c r="F537" s="6">
        <f t="shared" si="21"/>
        <v>0</v>
      </c>
    </row>
    <row r="538" spans="1:6" x14ac:dyDescent="0.3">
      <c r="A538" s="4"/>
      <c r="B538" s="1"/>
      <c r="C538" s="2"/>
      <c r="D538" s="2"/>
      <c r="E538" s="5">
        <f t="shared" si="20"/>
        <v>0</v>
      </c>
      <c r="F538" s="6">
        <f t="shared" si="21"/>
        <v>0</v>
      </c>
    </row>
    <row r="539" spans="1:6" x14ac:dyDescent="0.3">
      <c r="A539" s="4"/>
      <c r="B539" s="1"/>
      <c r="C539" s="2"/>
      <c r="D539" s="2"/>
      <c r="E539" s="5">
        <f t="shared" si="20"/>
        <v>0</v>
      </c>
      <c r="F539" s="6">
        <f t="shared" si="21"/>
        <v>0</v>
      </c>
    </row>
    <row r="540" spans="1:6" x14ac:dyDescent="0.3">
      <c r="A540" s="4"/>
      <c r="B540" s="1"/>
      <c r="C540" s="2"/>
      <c r="D540" s="2"/>
      <c r="E540" s="5">
        <f t="shared" si="20"/>
        <v>0</v>
      </c>
      <c r="F540" s="6">
        <f t="shared" si="21"/>
        <v>0</v>
      </c>
    </row>
    <row r="541" spans="1:6" x14ac:dyDescent="0.3">
      <c r="A541" s="4"/>
      <c r="B541" s="1"/>
      <c r="C541" s="2"/>
      <c r="D541" s="2"/>
      <c r="E541" s="5">
        <f t="shared" si="20"/>
        <v>0</v>
      </c>
      <c r="F541" s="6">
        <f t="shared" si="21"/>
        <v>0</v>
      </c>
    </row>
    <row r="542" spans="1:6" x14ac:dyDescent="0.3">
      <c r="A542" s="4"/>
      <c r="B542" s="1"/>
      <c r="C542" s="2"/>
      <c r="D542" s="2"/>
      <c r="E542" s="5">
        <f t="shared" si="20"/>
        <v>0</v>
      </c>
      <c r="F542" s="6">
        <f t="shared" si="21"/>
        <v>0</v>
      </c>
    </row>
    <row r="543" spans="1:6" x14ac:dyDescent="0.3">
      <c r="A543" s="4"/>
      <c r="B543" s="1"/>
      <c r="C543" s="2"/>
      <c r="D543" s="2"/>
      <c r="E543" s="5">
        <f t="shared" si="20"/>
        <v>0</v>
      </c>
      <c r="F543" s="6">
        <f t="shared" si="21"/>
        <v>0</v>
      </c>
    </row>
    <row r="544" spans="1:6" x14ac:dyDescent="0.3">
      <c r="A544" s="4"/>
      <c r="B544" s="1"/>
      <c r="C544" s="2"/>
      <c r="D544" s="2"/>
      <c r="E544" s="5">
        <f t="shared" si="20"/>
        <v>0</v>
      </c>
      <c r="F544" s="6">
        <f t="shared" si="21"/>
        <v>0</v>
      </c>
    </row>
    <row r="545" spans="1:6" x14ac:dyDescent="0.3">
      <c r="A545" s="4"/>
      <c r="B545" s="1"/>
      <c r="C545" s="2"/>
      <c r="D545" s="2"/>
      <c r="E545" s="5">
        <f t="shared" si="20"/>
        <v>0</v>
      </c>
      <c r="F545" s="6">
        <f t="shared" si="21"/>
        <v>0</v>
      </c>
    </row>
    <row r="546" spans="1:6" x14ac:dyDescent="0.3">
      <c r="A546" s="4"/>
      <c r="B546" s="1"/>
      <c r="C546" s="2"/>
      <c r="D546" s="2"/>
      <c r="E546" s="5">
        <f t="shared" si="20"/>
        <v>0</v>
      </c>
      <c r="F546" s="6">
        <f t="shared" si="21"/>
        <v>0</v>
      </c>
    </row>
    <row r="547" spans="1:6" x14ac:dyDescent="0.3">
      <c r="A547" s="4"/>
      <c r="B547" s="1"/>
      <c r="C547" s="2"/>
      <c r="D547" s="2"/>
      <c r="E547" s="5">
        <f t="shared" si="20"/>
        <v>0</v>
      </c>
      <c r="F547" s="6">
        <f t="shared" si="21"/>
        <v>0</v>
      </c>
    </row>
    <row r="548" spans="1:6" x14ac:dyDescent="0.3">
      <c r="A548" s="4"/>
      <c r="B548" s="1"/>
      <c r="C548" s="2"/>
      <c r="D548" s="2"/>
      <c r="E548" s="5">
        <f t="shared" si="20"/>
        <v>0</v>
      </c>
      <c r="F548" s="6">
        <f t="shared" si="21"/>
        <v>0</v>
      </c>
    </row>
    <row r="549" spans="1:6" x14ac:dyDescent="0.3">
      <c r="A549" s="4"/>
      <c r="B549" s="1"/>
      <c r="C549" s="2"/>
      <c r="D549" s="2"/>
      <c r="E549" s="5">
        <f t="shared" si="20"/>
        <v>0</v>
      </c>
      <c r="F549" s="6">
        <f t="shared" si="21"/>
        <v>0</v>
      </c>
    </row>
    <row r="550" spans="1:6" x14ac:dyDescent="0.3">
      <c r="A550" s="4"/>
      <c r="B550" s="1"/>
      <c r="C550" s="2"/>
      <c r="D550" s="2"/>
      <c r="E550" s="5">
        <f t="shared" si="20"/>
        <v>0</v>
      </c>
      <c r="F550" s="6">
        <f t="shared" si="21"/>
        <v>0</v>
      </c>
    </row>
    <row r="551" spans="1:6" x14ac:dyDescent="0.3">
      <c r="A551" s="4"/>
      <c r="B551" s="1"/>
      <c r="C551" s="2"/>
      <c r="D551" s="2"/>
      <c r="E551" s="5">
        <f t="shared" si="20"/>
        <v>0</v>
      </c>
      <c r="F551" s="6">
        <f t="shared" si="21"/>
        <v>0</v>
      </c>
    </row>
    <row r="552" spans="1:6" x14ac:dyDescent="0.3">
      <c r="A552" s="4"/>
      <c r="B552" s="1"/>
      <c r="C552" s="2"/>
      <c r="D552" s="2"/>
      <c r="E552" s="5">
        <f t="shared" si="20"/>
        <v>0</v>
      </c>
      <c r="F552" s="6">
        <f t="shared" si="21"/>
        <v>0</v>
      </c>
    </row>
    <row r="553" spans="1:6" x14ac:dyDescent="0.3">
      <c r="A553" s="4"/>
      <c r="B553" s="1"/>
      <c r="C553" s="2"/>
      <c r="D553" s="2"/>
      <c r="E553" s="5">
        <f t="shared" si="20"/>
        <v>0</v>
      </c>
      <c r="F553" s="6">
        <f t="shared" si="21"/>
        <v>0</v>
      </c>
    </row>
    <row r="554" spans="1:6" x14ac:dyDescent="0.3">
      <c r="A554" s="4"/>
      <c r="B554" s="1"/>
      <c r="C554" s="2"/>
      <c r="D554" s="2"/>
      <c r="E554" s="5">
        <f t="shared" si="20"/>
        <v>0</v>
      </c>
      <c r="F554" s="6">
        <f t="shared" si="21"/>
        <v>0</v>
      </c>
    </row>
    <row r="555" spans="1:6" x14ac:dyDescent="0.3">
      <c r="A555" s="4"/>
      <c r="B555" s="1"/>
      <c r="C555" s="2"/>
      <c r="D555" s="2"/>
      <c r="E555" s="5">
        <f t="shared" si="20"/>
        <v>0</v>
      </c>
      <c r="F555" s="6">
        <f t="shared" si="21"/>
        <v>0</v>
      </c>
    </row>
    <row r="556" spans="1:6" x14ac:dyDescent="0.3">
      <c r="A556" s="4"/>
      <c r="B556" s="1"/>
      <c r="C556" s="2"/>
      <c r="D556" s="2"/>
      <c r="E556" s="5">
        <f t="shared" si="20"/>
        <v>0</v>
      </c>
      <c r="F556" s="6">
        <f t="shared" si="21"/>
        <v>0</v>
      </c>
    </row>
    <row r="557" spans="1:6" x14ac:dyDescent="0.3">
      <c r="A557" s="4"/>
      <c r="B557" s="1"/>
      <c r="C557" s="2"/>
      <c r="D557" s="2"/>
      <c r="E557" s="5">
        <f t="shared" si="20"/>
        <v>0</v>
      </c>
      <c r="F557" s="6">
        <f t="shared" si="21"/>
        <v>0</v>
      </c>
    </row>
    <row r="558" spans="1:6" x14ac:dyDescent="0.3">
      <c r="A558" s="4"/>
      <c r="B558" s="1"/>
      <c r="C558" s="2"/>
      <c r="D558" s="2"/>
      <c r="E558" s="5">
        <f t="shared" si="20"/>
        <v>0</v>
      </c>
      <c r="F558" s="6">
        <f t="shared" si="21"/>
        <v>0</v>
      </c>
    </row>
    <row r="559" spans="1:6" x14ac:dyDescent="0.3">
      <c r="A559" s="4"/>
      <c r="B559" s="1"/>
      <c r="C559" s="2"/>
      <c r="D559" s="2"/>
      <c r="E559" s="5">
        <f t="shared" si="20"/>
        <v>0</v>
      </c>
      <c r="F559" s="6">
        <f t="shared" si="21"/>
        <v>0</v>
      </c>
    </row>
    <row r="560" spans="1:6" x14ac:dyDescent="0.3">
      <c r="A560" s="4"/>
      <c r="B560" s="1"/>
      <c r="C560" s="2"/>
      <c r="D560" s="2"/>
      <c r="E560" s="5">
        <f t="shared" si="20"/>
        <v>0</v>
      </c>
      <c r="F560" s="6">
        <f t="shared" si="21"/>
        <v>0</v>
      </c>
    </row>
    <row r="561" spans="1:6" x14ac:dyDescent="0.3">
      <c r="A561" s="4"/>
      <c r="B561" s="1"/>
      <c r="C561" s="2"/>
      <c r="D561" s="2"/>
      <c r="E561" s="5">
        <f t="shared" si="20"/>
        <v>0</v>
      </c>
      <c r="F561" s="6">
        <f t="shared" si="21"/>
        <v>0</v>
      </c>
    </row>
    <row r="562" spans="1:6" x14ac:dyDescent="0.3">
      <c r="A562" s="4"/>
      <c r="B562" s="1"/>
      <c r="C562" s="2"/>
      <c r="D562" s="2"/>
      <c r="E562" s="5">
        <f t="shared" si="20"/>
        <v>0</v>
      </c>
      <c r="F562" s="6">
        <f t="shared" si="21"/>
        <v>0</v>
      </c>
    </row>
    <row r="563" spans="1:6" x14ac:dyDescent="0.3">
      <c r="A563" s="4"/>
      <c r="B563" s="1"/>
      <c r="C563" s="2"/>
      <c r="D563" s="2"/>
      <c r="E563" s="5">
        <f t="shared" si="20"/>
        <v>0</v>
      </c>
      <c r="F563" s="6">
        <f t="shared" si="21"/>
        <v>0</v>
      </c>
    </row>
    <row r="564" spans="1:6" x14ac:dyDescent="0.3">
      <c r="A564" s="4"/>
      <c r="B564" s="1"/>
      <c r="C564" s="2"/>
      <c r="D564" s="2"/>
      <c r="E564" s="5">
        <f t="shared" si="20"/>
        <v>0</v>
      </c>
      <c r="F564" s="6">
        <f t="shared" si="21"/>
        <v>0</v>
      </c>
    </row>
    <row r="565" spans="1:6" x14ac:dyDescent="0.3">
      <c r="A565" s="4"/>
      <c r="B565" s="1"/>
      <c r="C565" s="2"/>
      <c r="D565" s="2"/>
      <c r="E565" s="5">
        <f t="shared" si="20"/>
        <v>0</v>
      </c>
      <c r="F565" s="6">
        <f t="shared" si="21"/>
        <v>0</v>
      </c>
    </row>
    <row r="566" spans="1:6" x14ac:dyDescent="0.3">
      <c r="A566" s="4"/>
      <c r="B566" s="1"/>
      <c r="C566" s="2"/>
      <c r="D566" s="2"/>
      <c r="E566" s="5">
        <f t="shared" si="20"/>
        <v>0</v>
      </c>
      <c r="F566" s="6">
        <f t="shared" si="21"/>
        <v>0</v>
      </c>
    </row>
    <row r="567" spans="1:6" x14ac:dyDescent="0.3">
      <c r="A567" s="4"/>
      <c r="B567" s="1"/>
      <c r="C567" s="2"/>
      <c r="D567" s="2"/>
      <c r="E567" s="5">
        <f t="shared" si="20"/>
        <v>0</v>
      </c>
      <c r="F567" s="6">
        <f t="shared" si="21"/>
        <v>0</v>
      </c>
    </row>
    <row r="568" spans="1:6" x14ac:dyDescent="0.3">
      <c r="A568" s="4"/>
      <c r="B568" s="1"/>
      <c r="C568" s="2"/>
      <c r="D568" s="2"/>
      <c r="E568" s="5">
        <f t="shared" si="20"/>
        <v>0</v>
      </c>
      <c r="F568" s="6">
        <f t="shared" si="21"/>
        <v>0</v>
      </c>
    </row>
    <row r="569" spans="1:6" x14ac:dyDescent="0.3">
      <c r="A569" s="4"/>
      <c r="B569" s="1"/>
      <c r="C569" s="2"/>
      <c r="D569" s="2"/>
      <c r="E569" s="5">
        <f t="shared" si="20"/>
        <v>0</v>
      </c>
      <c r="F569" s="6">
        <f t="shared" si="21"/>
        <v>0</v>
      </c>
    </row>
    <row r="570" spans="1:6" x14ac:dyDescent="0.3">
      <c r="A570" s="4"/>
      <c r="B570" s="1"/>
      <c r="C570" s="2"/>
      <c r="D570" s="2"/>
      <c r="E570" s="5">
        <f t="shared" si="20"/>
        <v>0</v>
      </c>
      <c r="F570" s="6">
        <f t="shared" si="21"/>
        <v>0</v>
      </c>
    </row>
    <row r="571" spans="1:6" x14ac:dyDescent="0.3">
      <c r="A571" s="4"/>
      <c r="B571" s="1"/>
      <c r="C571" s="2"/>
      <c r="D571" s="2"/>
      <c r="E571" s="5">
        <f t="shared" si="20"/>
        <v>0</v>
      </c>
      <c r="F571" s="6">
        <f t="shared" si="21"/>
        <v>0</v>
      </c>
    </row>
    <row r="572" spans="1:6" x14ac:dyDescent="0.3">
      <c r="A572" s="4"/>
      <c r="B572" s="1"/>
      <c r="C572" s="2"/>
      <c r="D572" s="2"/>
      <c r="E572" s="5">
        <f t="shared" si="20"/>
        <v>0</v>
      </c>
      <c r="F572" s="6">
        <f t="shared" si="21"/>
        <v>0</v>
      </c>
    </row>
    <row r="573" spans="1:6" x14ac:dyDescent="0.3">
      <c r="A573" s="4"/>
      <c r="B573" s="1"/>
      <c r="C573" s="2"/>
      <c r="D573" s="2"/>
      <c r="E573" s="5">
        <f t="shared" si="20"/>
        <v>0</v>
      </c>
      <c r="F573" s="6">
        <f t="shared" si="21"/>
        <v>0</v>
      </c>
    </row>
    <row r="574" spans="1:6" x14ac:dyDescent="0.3">
      <c r="A574" s="4"/>
      <c r="B574" s="1"/>
      <c r="C574" s="2"/>
      <c r="D574" s="2"/>
      <c r="E574" s="5">
        <f t="shared" si="20"/>
        <v>0</v>
      </c>
      <c r="F574" s="6">
        <f t="shared" si="21"/>
        <v>0</v>
      </c>
    </row>
    <row r="575" spans="1:6" x14ac:dyDescent="0.3">
      <c r="A575" s="4"/>
      <c r="B575" s="1"/>
      <c r="C575" s="2"/>
      <c r="D575" s="2"/>
      <c r="E575" s="5">
        <f t="shared" si="20"/>
        <v>0</v>
      </c>
      <c r="F575" s="6">
        <f t="shared" si="21"/>
        <v>0</v>
      </c>
    </row>
    <row r="576" spans="1:6" x14ac:dyDescent="0.3">
      <c r="A576" s="4"/>
      <c r="B576" s="1"/>
      <c r="C576" s="2"/>
      <c r="D576" s="2"/>
      <c r="E576" s="5">
        <f t="shared" si="20"/>
        <v>0</v>
      </c>
      <c r="F576" s="6">
        <f t="shared" si="21"/>
        <v>0</v>
      </c>
    </row>
    <row r="577" spans="1:6" x14ac:dyDescent="0.3">
      <c r="A577" s="4"/>
      <c r="B577" s="1"/>
      <c r="C577" s="2"/>
      <c r="D577" s="2"/>
      <c r="E577" s="5">
        <f t="shared" si="20"/>
        <v>0</v>
      </c>
      <c r="F577" s="6">
        <f t="shared" si="21"/>
        <v>0</v>
      </c>
    </row>
    <row r="578" spans="1:6" x14ac:dyDescent="0.3">
      <c r="A578" s="4"/>
      <c r="B578" s="1"/>
      <c r="C578" s="2"/>
      <c r="D578" s="2"/>
      <c r="E578" s="5">
        <f t="shared" si="20"/>
        <v>0</v>
      </c>
      <c r="F578" s="6">
        <f t="shared" si="21"/>
        <v>0</v>
      </c>
    </row>
    <row r="579" spans="1:6" x14ac:dyDescent="0.3">
      <c r="A579" s="4"/>
      <c r="B579" s="1"/>
      <c r="C579" s="2"/>
      <c r="D579" s="2"/>
      <c r="E579" s="5">
        <f t="shared" ref="E579:E642" si="22">D579-C579</f>
        <v>0</v>
      </c>
      <c r="F579" s="6">
        <f t="shared" ref="F579:F642" si="23">ROUND(VALUE(E579)*4,2)</f>
        <v>0</v>
      </c>
    </row>
    <row r="580" spans="1:6" x14ac:dyDescent="0.3">
      <c r="A580" s="4"/>
      <c r="B580" s="1"/>
      <c r="C580" s="2"/>
      <c r="D580" s="2"/>
      <c r="E580" s="5">
        <f t="shared" si="22"/>
        <v>0</v>
      </c>
      <c r="F580" s="6">
        <f t="shared" si="23"/>
        <v>0</v>
      </c>
    </row>
    <row r="581" spans="1:6" x14ac:dyDescent="0.3">
      <c r="A581" s="4"/>
      <c r="B581" s="1"/>
      <c r="C581" s="2"/>
      <c r="D581" s="2"/>
      <c r="E581" s="5">
        <f t="shared" si="22"/>
        <v>0</v>
      </c>
      <c r="F581" s="6">
        <f t="shared" si="23"/>
        <v>0</v>
      </c>
    </row>
    <row r="582" spans="1:6" x14ac:dyDescent="0.3">
      <c r="A582" s="4"/>
      <c r="B582" s="1"/>
      <c r="C582" s="2"/>
      <c r="D582" s="2"/>
      <c r="E582" s="5">
        <f t="shared" si="22"/>
        <v>0</v>
      </c>
      <c r="F582" s="6">
        <f t="shared" si="23"/>
        <v>0</v>
      </c>
    </row>
    <row r="583" spans="1:6" x14ac:dyDescent="0.3">
      <c r="A583" s="4"/>
      <c r="B583" s="1"/>
      <c r="C583" s="2"/>
      <c r="D583" s="2"/>
      <c r="E583" s="5">
        <f t="shared" si="22"/>
        <v>0</v>
      </c>
      <c r="F583" s="6">
        <f t="shared" si="23"/>
        <v>0</v>
      </c>
    </row>
    <row r="584" spans="1:6" x14ac:dyDescent="0.3">
      <c r="A584" s="4"/>
      <c r="B584" s="1"/>
      <c r="C584" s="2"/>
      <c r="D584" s="2"/>
      <c r="E584" s="5">
        <f t="shared" si="22"/>
        <v>0</v>
      </c>
      <c r="F584" s="6">
        <f t="shared" si="23"/>
        <v>0</v>
      </c>
    </row>
    <row r="585" spans="1:6" x14ac:dyDescent="0.3">
      <c r="A585" s="4"/>
      <c r="B585" s="1"/>
      <c r="C585" s="2"/>
      <c r="D585" s="2"/>
      <c r="E585" s="5">
        <f t="shared" si="22"/>
        <v>0</v>
      </c>
      <c r="F585" s="6">
        <f t="shared" si="23"/>
        <v>0</v>
      </c>
    </row>
    <row r="586" spans="1:6" x14ac:dyDescent="0.3">
      <c r="A586" s="4"/>
      <c r="B586" s="1"/>
      <c r="C586" s="2"/>
      <c r="D586" s="2"/>
      <c r="E586" s="5">
        <f t="shared" si="22"/>
        <v>0</v>
      </c>
      <c r="F586" s="6">
        <f t="shared" si="23"/>
        <v>0</v>
      </c>
    </row>
    <row r="587" spans="1:6" x14ac:dyDescent="0.3">
      <c r="A587" s="4"/>
      <c r="B587" s="1"/>
      <c r="C587" s="2"/>
      <c r="D587" s="2"/>
      <c r="E587" s="5">
        <f t="shared" si="22"/>
        <v>0</v>
      </c>
      <c r="F587" s="6">
        <f t="shared" si="23"/>
        <v>0</v>
      </c>
    </row>
    <row r="588" spans="1:6" x14ac:dyDescent="0.3">
      <c r="A588" s="4"/>
      <c r="B588" s="1"/>
      <c r="C588" s="2"/>
      <c r="D588" s="2"/>
      <c r="E588" s="5">
        <f t="shared" si="22"/>
        <v>0</v>
      </c>
      <c r="F588" s="6">
        <f t="shared" si="23"/>
        <v>0</v>
      </c>
    </row>
    <row r="589" spans="1:6" x14ac:dyDescent="0.3">
      <c r="A589" s="4"/>
      <c r="B589" s="1"/>
      <c r="C589" s="2"/>
      <c r="D589" s="2"/>
      <c r="E589" s="5">
        <f t="shared" si="22"/>
        <v>0</v>
      </c>
      <c r="F589" s="6">
        <f t="shared" si="23"/>
        <v>0</v>
      </c>
    </row>
    <row r="590" spans="1:6" x14ac:dyDescent="0.3">
      <c r="A590" s="4"/>
      <c r="B590" s="1"/>
      <c r="C590" s="2"/>
      <c r="D590" s="2"/>
      <c r="E590" s="5">
        <f t="shared" si="22"/>
        <v>0</v>
      </c>
      <c r="F590" s="6">
        <f t="shared" si="23"/>
        <v>0</v>
      </c>
    </row>
    <row r="591" spans="1:6" x14ac:dyDescent="0.3">
      <c r="A591" s="4"/>
      <c r="B591" s="1"/>
      <c r="C591" s="2"/>
      <c r="D591" s="2"/>
      <c r="E591" s="5">
        <f t="shared" si="22"/>
        <v>0</v>
      </c>
      <c r="F591" s="6">
        <f t="shared" si="23"/>
        <v>0</v>
      </c>
    </row>
    <row r="592" spans="1:6" x14ac:dyDescent="0.3">
      <c r="A592" s="4"/>
      <c r="B592" s="1"/>
      <c r="C592" s="2"/>
      <c r="D592" s="2"/>
      <c r="E592" s="5">
        <f t="shared" si="22"/>
        <v>0</v>
      </c>
      <c r="F592" s="6">
        <f t="shared" si="23"/>
        <v>0</v>
      </c>
    </row>
    <row r="593" spans="1:6" x14ac:dyDescent="0.3">
      <c r="A593" s="4"/>
      <c r="B593" s="1"/>
      <c r="C593" s="2"/>
      <c r="D593" s="2"/>
      <c r="E593" s="5">
        <f t="shared" si="22"/>
        <v>0</v>
      </c>
      <c r="F593" s="6">
        <f t="shared" si="23"/>
        <v>0</v>
      </c>
    </row>
    <row r="594" spans="1:6" x14ac:dyDescent="0.3">
      <c r="A594" s="4"/>
      <c r="B594" s="1"/>
      <c r="C594" s="2"/>
      <c r="D594" s="2"/>
      <c r="E594" s="5">
        <f t="shared" si="22"/>
        <v>0</v>
      </c>
      <c r="F594" s="6">
        <f t="shared" si="23"/>
        <v>0</v>
      </c>
    </row>
    <row r="595" spans="1:6" x14ac:dyDescent="0.3">
      <c r="A595" s="4"/>
      <c r="B595" s="1"/>
      <c r="C595" s="2"/>
      <c r="D595" s="2"/>
      <c r="E595" s="5">
        <f t="shared" si="22"/>
        <v>0</v>
      </c>
      <c r="F595" s="6">
        <f t="shared" si="23"/>
        <v>0</v>
      </c>
    </row>
    <row r="596" spans="1:6" x14ac:dyDescent="0.3">
      <c r="A596" s="4"/>
      <c r="B596" s="1"/>
      <c r="C596" s="2"/>
      <c r="D596" s="2"/>
      <c r="E596" s="5">
        <f t="shared" si="22"/>
        <v>0</v>
      </c>
      <c r="F596" s="6">
        <f t="shared" si="23"/>
        <v>0</v>
      </c>
    </row>
    <row r="597" spans="1:6" x14ac:dyDescent="0.3">
      <c r="A597" s="4"/>
      <c r="B597" s="1"/>
      <c r="C597" s="2"/>
      <c r="D597" s="2"/>
      <c r="E597" s="5">
        <f t="shared" si="22"/>
        <v>0</v>
      </c>
      <c r="F597" s="6">
        <f t="shared" si="23"/>
        <v>0</v>
      </c>
    </row>
    <row r="598" spans="1:6" x14ac:dyDescent="0.3">
      <c r="A598" s="4"/>
      <c r="B598" s="1"/>
      <c r="C598" s="2"/>
      <c r="D598" s="2"/>
      <c r="E598" s="5">
        <f t="shared" si="22"/>
        <v>0</v>
      </c>
      <c r="F598" s="6">
        <f t="shared" si="23"/>
        <v>0</v>
      </c>
    </row>
    <row r="599" spans="1:6" x14ac:dyDescent="0.3">
      <c r="A599" s="4"/>
      <c r="B599" s="1"/>
      <c r="C599" s="2"/>
      <c r="D599" s="2"/>
      <c r="E599" s="5">
        <f t="shared" si="22"/>
        <v>0</v>
      </c>
      <c r="F599" s="6">
        <f t="shared" si="23"/>
        <v>0</v>
      </c>
    </row>
    <row r="600" spans="1:6" x14ac:dyDescent="0.3">
      <c r="A600" s="4"/>
      <c r="B600" s="1"/>
      <c r="C600" s="2"/>
      <c r="D600" s="2"/>
      <c r="E600" s="5">
        <f t="shared" si="22"/>
        <v>0</v>
      </c>
      <c r="F600" s="6">
        <f t="shared" si="23"/>
        <v>0</v>
      </c>
    </row>
    <row r="601" spans="1:6" x14ac:dyDescent="0.3">
      <c r="A601" s="4"/>
      <c r="B601" s="1"/>
      <c r="C601" s="2"/>
      <c r="D601" s="2"/>
      <c r="E601" s="5">
        <f t="shared" si="22"/>
        <v>0</v>
      </c>
      <c r="F601" s="6">
        <f t="shared" si="23"/>
        <v>0</v>
      </c>
    </row>
    <row r="602" spans="1:6" x14ac:dyDescent="0.3">
      <c r="A602" s="4"/>
      <c r="B602" s="1"/>
      <c r="C602" s="2"/>
      <c r="D602" s="2"/>
      <c r="E602" s="5">
        <f t="shared" si="22"/>
        <v>0</v>
      </c>
      <c r="F602" s="6">
        <f t="shared" si="23"/>
        <v>0</v>
      </c>
    </row>
    <row r="603" spans="1:6" x14ac:dyDescent="0.3">
      <c r="A603" s="4"/>
      <c r="B603" s="1"/>
      <c r="C603" s="2"/>
      <c r="D603" s="2"/>
      <c r="E603" s="5">
        <f t="shared" si="22"/>
        <v>0</v>
      </c>
      <c r="F603" s="6">
        <f t="shared" si="23"/>
        <v>0</v>
      </c>
    </row>
    <row r="604" spans="1:6" x14ac:dyDescent="0.3">
      <c r="A604" s="4"/>
      <c r="B604" s="1"/>
      <c r="C604" s="2"/>
      <c r="D604" s="2"/>
      <c r="E604" s="5">
        <f t="shared" si="22"/>
        <v>0</v>
      </c>
      <c r="F604" s="6">
        <f t="shared" si="23"/>
        <v>0</v>
      </c>
    </row>
    <row r="605" spans="1:6" x14ac:dyDescent="0.3">
      <c r="A605" s="4"/>
      <c r="B605" s="1"/>
      <c r="C605" s="2"/>
      <c r="D605" s="2"/>
      <c r="E605" s="5">
        <f t="shared" si="22"/>
        <v>0</v>
      </c>
      <c r="F605" s="6">
        <f t="shared" si="23"/>
        <v>0</v>
      </c>
    </row>
    <row r="606" spans="1:6" x14ac:dyDescent="0.3">
      <c r="A606" s="4"/>
      <c r="B606" s="1"/>
      <c r="C606" s="2"/>
      <c r="D606" s="2"/>
      <c r="E606" s="5">
        <f t="shared" si="22"/>
        <v>0</v>
      </c>
      <c r="F606" s="6">
        <f t="shared" si="23"/>
        <v>0</v>
      </c>
    </row>
    <row r="607" spans="1:6" x14ac:dyDescent="0.3">
      <c r="A607" s="4"/>
      <c r="B607" s="1"/>
      <c r="C607" s="2"/>
      <c r="D607" s="2"/>
      <c r="E607" s="5">
        <f t="shared" si="22"/>
        <v>0</v>
      </c>
      <c r="F607" s="6">
        <f t="shared" si="23"/>
        <v>0</v>
      </c>
    </row>
    <row r="608" spans="1:6" x14ac:dyDescent="0.3">
      <c r="A608" s="4"/>
      <c r="B608" s="1"/>
      <c r="C608" s="2"/>
      <c r="D608" s="2"/>
      <c r="E608" s="5">
        <f t="shared" si="22"/>
        <v>0</v>
      </c>
      <c r="F608" s="6">
        <f t="shared" si="23"/>
        <v>0</v>
      </c>
    </row>
    <row r="609" spans="1:6" x14ac:dyDescent="0.3">
      <c r="A609" s="4"/>
      <c r="B609" s="1"/>
      <c r="C609" s="2"/>
      <c r="D609" s="2"/>
      <c r="E609" s="5">
        <f t="shared" si="22"/>
        <v>0</v>
      </c>
      <c r="F609" s="6">
        <f t="shared" si="23"/>
        <v>0</v>
      </c>
    </row>
    <row r="610" spans="1:6" x14ac:dyDescent="0.3">
      <c r="A610" s="4"/>
      <c r="B610" s="1"/>
      <c r="C610" s="2"/>
      <c r="D610" s="2"/>
      <c r="E610" s="5">
        <f t="shared" si="22"/>
        <v>0</v>
      </c>
      <c r="F610" s="6">
        <f t="shared" si="23"/>
        <v>0</v>
      </c>
    </row>
    <row r="611" spans="1:6" x14ac:dyDescent="0.3">
      <c r="A611" s="4"/>
      <c r="B611" s="1"/>
      <c r="C611" s="2"/>
      <c r="D611" s="2"/>
      <c r="E611" s="5">
        <f t="shared" si="22"/>
        <v>0</v>
      </c>
      <c r="F611" s="6">
        <f t="shared" si="23"/>
        <v>0</v>
      </c>
    </row>
    <row r="612" spans="1:6" x14ac:dyDescent="0.3">
      <c r="A612" s="4"/>
      <c r="B612" s="1"/>
      <c r="C612" s="2"/>
      <c r="D612" s="2"/>
      <c r="E612" s="5">
        <f t="shared" si="22"/>
        <v>0</v>
      </c>
      <c r="F612" s="6">
        <f t="shared" si="23"/>
        <v>0</v>
      </c>
    </row>
    <row r="613" spans="1:6" x14ac:dyDescent="0.3">
      <c r="A613" s="4"/>
      <c r="B613" s="1"/>
      <c r="C613" s="2"/>
      <c r="D613" s="2"/>
      <c r="E613" s="5">
        <f t="shared" si="22"/>
        <v>0</v>
      </c>
      <c r="F613" s="6">
        <f t="shared" si="23"/>
        <v>0</v>
      </c>
    </row>
    <row r="614" spans="1:6" x14ac:dyDescent="0.3">
      <c r="A614" s="4"/>
      <c r="B614" s="1"/>
      <c r="C614" s="2"/>
      <c r="D614" s="2"/>
      <c r="E614" s="5">
        <f t="shared" si="22"/>
        <v>0</v>
      </c>
      <c r="F614" s="6">
        <f t="shared" si="23"/>
        <v>0</v>
      </c>
    </row>
    <row r="615" spans="1:6" x14ac:dyDescent="0.3">
      <c r="A615" s="4"/>
      <c r="B615" s="1"/>
      <c r="C615" s="2"/>
      <c r="D615" s="2"/>
      <c r="E615" s="5">
        <f t="shared" si="22"/>
        <v>0</v>
      </c>
      <c r="F615" s="6">
        <f t="shared" si="23"/>
        <v>0</v>
      </c>
    </row>
    <row r="616" spans="1:6" x14ac:dyDescent="0.3">
      <c r="A616" s="4"/>
      <c r="B616" s="1"/>
      <c r="C616" s="2"/>
      <c r="D616" s="2"/>
      <c r="E616" s="5">
        <f t="shared" si="22"/>
        <v>0</v>
      </c>
      <c r="F616" s="6">
        <f t="shared" si="23"/>
        <v>0</v>
      </c>
    </row>
    <row r="617" spans="1:6" x14ac:dyDescent="0.3">
      <c r="A617" s="4"/>
      <c r="B617" s="1"/>
      <c r="C617" s="2"/>
      <c r="D617" s="2"/>
      <c r="E617" s="5">
        <f t="shared" si="22"/>
        <v>0</v>
      </c>
      <c r="F617" s="6">
        <f t="shared" si="23"/>
        <v>0</v>
      </c>
    </row>
    <row r="618" spans="1:6" x14ac:dyDescent="0.3">
      <c r="A618" s="4"/>
      <c r="B618" s="1"/>
      <c r="C618" s="2"/>
      <c r="D618" s="2"/>
      <c r="E618" s="5">
        <f t="shared" si="22"/>
        <v>0</v>
      </c>
      <c r="F618" s="6">
        <f t="shared" si="23"/>
        <v>0</v>
      </c>
    </row>
    <row r="619" spans="1:6" x14ac:dyDescent="0.3">
      <c r="A619" s="4"/>
      <c r="B619" s="1"/>
      <c r="C619" s="2"/>
      <c r="D619" s="2"/>
      <c r="E619" s="5">
        <f t="shared" si="22"/>
        <v>0</v>
      </c>
      <c r="F619" s="6">
        <f t="shared" si="23"/>
        <v>0</v>
      </c>
    </row>
    <row r="620" spans="1:6" x14ac:dyDescent="0.3">
      <c r="A620" s="4"/>
      <c r="B620" s="1"/>
      <c r="C620" s="2"/>
      <c r="D620" s="2"/>
      <c r="E620" s="5">
        <f t="shared" si="22"/>
        <v>0</v>
      </c>
      <c r="F620" s="6">
        <f t="shared" si="23"/>
        <v>0</v>
      </c>
    </row>
    <row r="621" spans="1:6" x14ac:dyDescent="0.3">
      <c r="A621" s="4"/>
      <c r="B621" s="1"/>
      <c r="C621" s="2"/>
      <c r="D621" s="2"/>
      <c r="E621" s="5">
        <f t="shared" si="22"/>
        <v>0</v>
      </c>
      <c r="F621" s="6">
        <f t="shared" si="23"/>
        <v>0</v>
      </c>
    </row>
    <row r="622" spans="1:6" x14ac:dyDescent="0.3">
      <c r="A622" s="4"/>
      <c r="B622" s="1"/>
      <c r="C622" s="2"/>
      <c r="D622" s="2"/>
      <c r="E622" s="5">
        <f t="shared" si="22"/>
        <v>0</v>
      </c>
      <c r="F622" s="6">
        <f t="shared" si="23"/>
        <v>0</v>
      </c>
    </row>
    <row r="623" spans="1:6" x14ac:dyDescent="0.3">
      <c r="A623" s="4"/>
      <c r="B623" s="1"/>
      <c r="C623" s="2"/>
      <c r="D623" s="2"/>
      <c r="E623" s="5">
        <f t="shared" si="22"/>
        <v>0</v>
      </c>
      <c r="F623" s="6">
        <f t="shared" si="23"/>
        <v>0</v>
      </c>
    </row>
    <row r="624" spans="1:6" x14ac:dyDescent="0.3">
      <c r="A624" s="4"/>
      <c r="B624" s="1"/>
      <c r="C624" s="2"/>
      <c r="D624" s="2"/>
      <c r="E624" s="5">
        <f t="shared" si="22"/>
        <v>0</v>
      </c>
      <c r="F624" s="6">
        <f t="shared" si="23"/>
        <v>0</v>
      </c>
    </row>
    <row r="625" spans="1:6" x14ac:dyDescent="0.3">
      <c r="A625" s="4"/>
      <c r="B625" s="1"/>
      <c r="C625" s="2"/>
      <c r="D625" s="2"/>
      <c r="E625" s="5">
        <f t="shared" si="22"/>
        <v>0</v>
      </c>
      <c r="F625" s="6">
        <f t="shared" si="23"/>
        <v>0</v>
      </c>
    </row>
    <row r="626" spans="1:6" x14ac:dyDescent="0.3">
      <c r="A626" s="4"/>
      <c r="B626" s="1"/>
      <c r="C626" s="2"/>
      <c r="D626" s="2"/>
      <c r="E626" s="5">
        <f t="shared" si="22"/>
        <v>0</v>
      </c>
      <c r="F626" s="6">
        <f t="shared" si="23"/>
        <v>0</v>
      </c>
    </row>
    <row r="627" spans="1:6" x14ac:dyDescent="0.3">
      <c r="A627" s="4"/>
      <c r="B627" s="1"/>
      <c r="C627" s="2"/>
      <c r="D627" s="2"/>
      <c r="E627" s="5">
        <f t="shared" si="22"/>
        <v>0</v>
      </c>
      <c r="F627" s="6">
        <f t="shared" si="23"/>
        <v>0</v>
      </c>
    </row>
    <row r="628" spans="1:6" x14ac:dyDescent="0.3">
      <c r="A628" s="4"/>
      <c r="B628" s="1"/>
      <c r="C628" s="2"/>
      <c r="D628" s="2"/>
      <c r="E628" s="5">
        <f t="shared" si="22"/>
        <v>0</v>
      </c>
      <c r="F628" s="6">
        <f t="shared" si="23"/>
        <v>0</v>
      </c>
    </row>
    <row r="629" spans="1:6" x14ac:dyDescent="0.3">
      <c r="A629" s="4"/>
      <c r="B629" s="1"/>
      <c r="C629" s="2"/>
      <c r="D629" s="2"/>
      <c r="E629" s="5">
        <f t="shared" si="22"/>
        <v>0</v>
      </c>
      <c r="F629" s="6">
        <f t="shared" si="23"/>
        <v>0</v>
      </c>
    </row>
    <row r="630" spans="1:6" x14ac:dyDescent="0.3">
      <c r="A630" s="4"/>
      <c r="B630" s="1"/>
      <c r="C630" s="2"/>
      <c r="D630" s="2"/>
      <c r="E630" s="5">
        <f t="shared" si="22"/>
        <v>0</v>
      </c>
      <c r="F630" s="6">
        <f t="shared" si="23"/>
        <v>0</v>
      </c>
    </row>
    <row r="631" spans="1:6" x14ac:dyDescent="0.3">
      <c r="A631" s="4"/>
      <c r="B631" s="1"/>
      <c r="C631" s="2"/>
      <c r="D631" s="2"/>
      <c r="E631" s="5">
        <f t="shared" si="22"/>
        <v>0</v>
      </c>
      <c r="F631" s="6">
        <f t="shared" si="23"/>
        <v>0</v>
      </c>
    </row>
    <row r="632" spans="1:6" x14ac:dyDescent="0.3">
      <c r="A632" s="4"/>
      <c r="B632" s="1"/>
      <c r="C632" s="2"/>
      <c r="D632" s="2"/>
      <c r="E632" s="5">
        <f t="shared" si="22"/>
        <v>0</v>
      </c>
      <c r="F632" s="6">
        <f t="shared" si="23"/>
        <v>0</v>
      </c>
    </row>
    <row r="633" spans="1:6" x14ac:dyDescent="0.3">
      <c r="A633" s="4"/>
      <c r="B633" s="1"/>
      <c r="C633" s="2"/>
      <c r="D633" s="2"/>
      <c r="E633" s="5">
        <f t="shared" si="22"/>
        <v>0</v>
      </c>
      <c r="F633" s="6">
        <f t="shared" si="23"/>
        <v>0</v>
      </c>
    </row>
    <row r="634" spans="1:6" x14ac:dyDescent="0.3">
      <c r="A634" s="4"/>
      <c r="B634" s="1"/>
      <c r="C634" s="2"/>
      <c r="D634" s="2"/>
      <c r="E634" s="5">
        <f t="shared" si="22"/>
        <v>0</v>
      </c>
      <c r="F634" s="6">
        <f t="shared" si="23"/>
        <v>0</v>
      </c>
    </row>
    <row r="635" spans="1:6" x14ac:dyDescent="0.3">
      <c r="A635" s="4"/>
      <c r="B635" s="1"/>
      <c r="C635" s="2"/>
      <c r="D635" s="2"/>
      <c r="E635" s="5">
        <f t="shared" si="22"/>
        <v>0</v>
      </c>
      <c r="F635" s="6">
        <f t="shared" si="23"/>
        <v>0</v>
      </c>
    </row>
    <row r="636" spans="1:6" x14ac:dyDescent="0.3">
      <c r="A636" s="4"/>
      <c r="B636" s="1"/>
      <c r="C636" s="2"/>
      <c r="D636" s="2"/>
      <c r="E636" s="5">
        <f t="shared" si="22"/>
        <v>0</v>
      </c>
      <c r="F636" s="6">
        <f t="shared" si="23"/>
        <v>0</v>
      </c>
    </row>
    <row r="637" spans="1:6" x14ac:dyDescent="0.3">
      <c r="A637" s="4"/>
      <c r="B637" s="1"/>
      <c r="C637" s="2"/>
      <c r="D637" s="2"/>
      <c r="E637" s="5">
        <f t="shared" si="22"/>
        <v>0</v>
      </c>
      <c r="F637" s="6">
        <f t="shared" si="23"/>
        <v>0</v>
      </c>
    </row>
    <row r="638" spans="1:6" x14ac:dyDescent="0.3">
      <c r="A638" s="4"/>
      <c r="B638" s="1"/>
      <c r="C638" s="2"/>
      <c r="D638" s="2"/>
      <c r="E638" s="5">
        <f t="shared" si="22"/>
        <v>0</v>
      </c>
      <c r="F638" s="6">
        <f t="shared" si="23"/>
        <v>0</v>
      </c>
    </row>
    <row r="639" spans="1:6" x14ac:dyDescent="0.3">
      <c r="A639" s="4"/>
      <c r="B639" s="1"/>
      <c r="C639" s="2"/>
      <c r="D639" s="2"/>
      <c r="E639" s="5">
        <f t="shared" si="22"/>
        <v>0</v>
      </c>
      <c r="F639" s="6">
        <f t="shared" si="23"/>
        <v>0</v>
      </c>
    </row>
    <row r="640" spans="1:6" x14ac:dyDescent="0.3">
      <c r="A640" s="4"/>
      <c r="B640" s="1"/>
      <c r="C640" s="2"/>
      <c r="D640" s="2"/>
      <c r="E640" s="5">
        <f t="shared" si="22"/>
        <v>0</v>
      </c>
      <c r="F640" s="6">
        <f t="shared" si="23"/>
        <v>0</v>
      </c>
    </row>
    <row r="641" spans="1:6" x14ac:dyDescent="0.3">
      <c r="A641" s="4"/>
      <c r="B641" s="1"/>
      <c r="C641" s="2"/>
      <c r="D641" s="2"/>
      <c r="E641" s="5">
        <f t="shared" si="22"/>
        <v>0</v>
      </c>
      <c r="F641" s="6">
        <f t="shared" si="23"/>
        <v>0</v>
      </c>
    </row>
    <row r="642" spans="1:6" x14ac:dyDescent="0.3">
      <c r="A642" s="4"/>
      <c r="B642" s="1"/>
      <c r="C642" s="2"/>
      <c r="D642" s="2"/>
      <c r="E642" s="5">
        <f t="shared" si="22"/>
        <v>0</v>
      </c>
      <c r="F642" s="6">
        <f t="shared" si="23"/>
        <v>0</v>
      </c>
    </row>
    <row r="643" spans="1:6" x14ac:dyDescent="0.3">
      <c r="A643" s="4"/>
      <c r="B643" s="1"/>
      <c r="C643" s="2"/>
      <c r="D643" s="2"/>
      <c r="E643" s="5">
        <f t="shared" ref="E643:E706" si="24">D643-C643</f>
        <v>0</v>
      </c>
      <c r="F643" s="6">
        <f t="shared" ref="F643:F706" si="25">ROUND(VALUE(E643)*4,2)</f>
        <v>0</v>
      </c>
    </row>
    <row r="644" spans="1:6" x14ac:dyDescent="0.3">
      <c r="A644" s="4"/>
      <c r="B644" s="1"/>
      <c r="C644" s="2"/>
      <c r="D644" s="2"/>
      <c r="E644" s="5">
        <f t="shared" si="24"/>
        <v>0</v>
      </c>
      <c r="F644" s="6">
        <f t="shared" si="25"/>
        <v>0</v>
      </c>
    </row>
    <row r="645" spans="1:6" x14ac:dyDescent="0.3">
      <c r="A645" s="4"/>
      <c r="B645" s="1"/>
      <c r="C645" s="2"/>
      <c r="D645" s="2"/>
      <c r="E645" s="5">
        <f t="shared" si="24"/>
        <v>0</v>
      </c>
      <c r="F645" s="6">
        <f t="shared" si="25"/>
        <v>0</v>
      </c>
    </row>
    <row r="646" spans="1:6" x14ac:dyDescent="0.3">
      <c r="A646" s="4"/>
      <c r="B646" s="1"/>
      <c r="C646" s="2"/>
      <c r="D646" s="2"/>
      <c r="E646" s="5">
        <f t="shared" si="24"/>
        <v>0</v>
      </c>
      <c r="F646" s="6">
        <f t="shared" si="25"/>
        <v>0</v>
      </c>
    </row>
    <row r="647" spans="1:6" x14ac:dyDescent="0.3">
      <c r="A647" s="4"/>
      <c r="B647" s="1"/>
      <c r="C647" s="2"/>
      <c r="D647" s="2"/>
      <c r="E647" s="5">
        <f t="shared" si="24"/>
        <v>0</v>
      </c>
      <c r="F647" s="6">
        <f t="shared" si="25"/>
        <v>0</v>
      </c>
    </row>
    <row r="648" spans="1:6" x14ac:dyDescent="0.3">
      <c r="A648" s="4"/>
      <c r="B648" s="1"/>
      <c r="C648" s="2"/>
      <c r="D648" s="2"/>
      <c r="E648" s="5">
        <f t="shared" si="24"/>
        <v>0</v>
      </c>
      <c r="F648" s="6">
        <f t="shared" si="25"/>
        <v>0</v>
      </c>
    </row>
    <row r="649" spans="1:6" x14ac:dyDescent="0.3">
      <c r="A649" s="4"/>
      <c r="B649" s="1"/>
      <c r="C649" s="2"/>
      <c r="D649" s="2"/>
      <c r="E649" s="5">
        <f t="shared" si="24"/>
        <v>0</v>
      </c>
      <c r="F649" s="6">
        <f t="shared" si="25"/>
        <v>0</v>
      </c>
    </row>
    <row r="650" spans="1:6" x14ac:dyDescent="0.3">
      <c r="A650" s="4"/>
      <c r="B650" s="1"/>
      <c r="C650" s="2"/>
      <c r="D650" s="2"/>
      <c r="E650" s="5">
        <f t="shared" si="24"/>
        <v>0</v>
      </c>
      <c r="F650" s="6">
        <f t="shared" si="25"/>
        <v>0</v>
      </c>
    </row>
    <row r="651" spans="1:6" x14ac:dyDescent="0.3">
      <c r="A651" s="4"/>
      <c r="B651" s="1"/>
      <c r="C651" s="2"/>
      <c r="D651" s="2"/>
      <c r="E651" s="5">
        <f t="shared" si="24"/>
        <v>0</v>
      </c>
      <c r="F651" s="6">
        <f t="shared" si="25"/>
        <v>0</v>
      </c>
    </row>
    <row r="652" spans="1:6" x14ac:dyDescent="0.3">
      <c r="A652" s="4"/>
      <c r="B652" s="1"/>
      <c r="C652" s="2"/>
      <c r="D652" s="2"/>
      <c r="E652" s="5">
        <f t="shared" si="24"/>
        <v>0</v>
      </c>
      <c r="F652" s="6">
        <f t="shared" si="25"/>
        <v>0</v>
      </c>
    </row>
    <row r="653" spans="1:6" x14ac:dyDescent="0.3">
      <c r="A653" s="4"/>
      <c r="B653" s="1"/>
      <c r="C653" s="2"/>
      <c r="D653" s="2"/>
      <c r="E653" s="5">
        <f t="shared" si="24"/>
        <v>0</v>
      </c>
      <c r="F653" s="6">
        <f t="shared" si="25"/>
        <v>0</v>
      </c>
    </row>
    <row r="654" spans="1:6" x14ac:dyDescent="0.3">
      <c r="A654" s="4"/>
      <c r="B654" s="1"/>
      <c r="C654" s="2"/>
      <c r="D654" s="2"/>
      <c r="E654" s="5">
        <f t="shared" si="24"/>
        <v>0</v>
      </c>
      <c r="F654" s="6">
        <f t="shared" si="25"/>
        <v>0</v>
      </c>
    </row>
    <row r="655" spans="1:6" x14ac:dyDescent="0.3">
      <c r="A655" s="4"/>
      <c r="B655" s="1"/>
      <c r="C655" s="2"/>
      <c r="D655" s="2"/>
      <c r="E655" s="5">
        <f t="shared" si="24"/>
        <v>0</v>
      </c>
      <c r="F655" s="6">
        <f t="shared" si="25"/>
        <v>0</v>
      </c>
    </row>
    <row r="656" spans="1:6" x14ac:dyDescent="0.3">
      <c r="A656" s="4"/>
      <c r="B656" s="1"/>
      <c r="C656" s="2"/>
      <c r="D656" s="2"/>
      <c r="E656" s="5">
        <f t="shared" si="24"/>
        <v>0</v>
      </c>
      <c r="F656" s="6">
        <f t="shared" si="25"/>
        <v>0</v>
      </c>
    </row>
    <row r="657" spans="1:6" x14ac:dyDescent="0.3">
      <c r="A657" s="4"/>
      <c r="B657" s="1"/>
      <c r="C657" s="2"/>
      <c r="D657" s="2"/>
      <c r="E657" s="5">
        <f t="shared" si="24"/>
        <v>0</v>
      </c>
      <c r="F657" s="6">
        <f t="shared" si="25"/>
        <v>0</v>
      </c>
    </row>
    <row r="658" spans="1:6" x14ac:dyDescent="0.3">
      <c r="A658" s="4"/>
      <c r="B658" s="1"/>
      <c r="C658" s="2"/>
      <c r="D658" s="2"/>
      <c r="E658" s="5">
        <f t="shared" si="24"/>
        <v>0</v>
      </c>
      <c r="F658" s="6">
        <f t="shared" si="25"/>
        <v>0</v>
      </c>
    </row>
    <row r="659" spans="1:6" x14ac:dyDescent="0.3">
      <c r="A659" s="4"/>
      <c r="B659" s="1"/>
      <c r="C659" s="2"/>
      <c r="D659" s="2"/>
      <c r="E659" s="5">
        <f t="shared" si="24"/>
        <v>0</v>
      </c>
      <c r="F659" s="6">
        <f t="shared" si="25"/>
        <v>0</v>
      </c>
    </row>
    <row r="660" spans="1:6" x14ac:dyDescent="0.3">
      <c r="A660" s="4"/>
      <c r="B660" s="1"/>
      <c r="C660" s="2"/>
      <c r="D660" s="2"/>
      <c r="E660" s="5">
        <f t="shared" si="24"/>
        <v>0</v>
      </c>
      <c r="F660" s="6">
        <f t="shared" si="25"/>
        <v>0</v>
      </c>
    </row>
    <row r="661" spans="1:6" x14ac:dyDescent="0.3">
      <c r="A661" s="4"/>
      <c r="B661" s="1"/>
      <c r="C661" s="2"/>
      <c r="D661" s="2"/>
      <c r="E661" s="5">
        <f t="shared" si="24"/>
        <v>0</v>
      </c>
      <c r="F661" s="6">
        <f t="shared" si="25"/>
        <v>0</v>
      </c>
    </row>
    <row r="662" spans="1:6" x14ac:dyDescent="0.3">
      <c r="A662" s="4"/>
      <c r="B662" s="1"/>
      <c r="C662" s="2"/>
      <c r="D662" s="2"/>
      <c r="E662" s="5">
        <f t="shared" si="24"/>
        <v>0</v>
      </c>
      <c r="F662" s="6">
        <f t="shared" si="25"/>
        <v>0</v>
      </c>
    </row>
    <row r="663" spans="1:6" x14ac:dyDescent="0.3">
      <c r="A663" s="4"/>
      <c r="B663" s="1"/>
      <c r="C663" s="2"/>
      <c r="D663" s="2"/>
      <c r="E663" s="5">
        <f t="shared" si="24"/>
        <v>0</v>
      </c>
      <c r="F663" s="6">
        <f t="shared" si="25"/>
        <v>0</v>
      </c>
    </row>
    <row r="664" spans="1:6" x14ac:dyDescent="0.3">
      <c r="A664" s="4"/>
      <c r="B664" s="1"/>
      <c r="C664" s="2"/>
      <c r="D664" s="2"/>
      <c r="E664" s="5">
        <f t="shared" si="24"/>
        <v>0</v>
      </c>
      <c r="F664" s="6">
        <f t="shared" si="25"/>
        <v>0</v>
      </c>
    </row>
    <row r="665" spans="1:6" x14ac:dyDescent="0.3">
      <c r="A665" s="4"/>
      <c r="B665" s="1"/>
      <c r="C665" s="2"/>
      <c r="D665" s="2"/>
      <c r="E665" s="5">
        <f t="shared" si="24"/>
        <v>0</v>
      </c>
      <c r="F665" s="6">
        <f t="shared" si="25"/>
        <v>0</v>
      </c>
    </row>
    <row r="666" spans="1:6" x14ac:dyDescent="0.3">
      <c r="A666" s="4"/>
      <c r="B666" s="1"/>
      <c r="C666" s="2"/>
      <c r="D666" s="2"/>
      <c r="E666" s="5">
        <f t="shared" si="24"/>
        <v>0</v>
      </c>
      <c r="F666" s="6">
        <f t="shared" si="25"/>
        <v>0</v>
      </c>
    </row>
    <row r="667" spans="1:6" x14ac:dyDescent="0.3">
      <c r="A667" s="4"/>
      <c r="B667" s="1"/>
      <c r="C667" s="2"/>
      <c r="D667" s="2"/>
      <c r="E667" s="5">
        <f t="shared" si="24"/>
        <v>0</v>
      </c>
      <c r="F667" s="6">
        <f t="shared" si="25"/>
        <v>0</v>
      </c>
    </row>
    <row r="668" spans="1:6" x14ac:dyDescent="0.3">
      <c r="A668" s="4"/>
      <c r="B668" s="1"/>
      <c r="C668" s="2"/>
      <c r="D668" s="2"/>
      <c r="E668" s="5">
        <f t="shared" si="24"/>
        <v>0</v>
      </c>
      <c r="F668" s="6">
        <f t="shared" si="25"/>
        <v>0</v>
      </c>
    </row>
    <row r="669" spans="1:6" x14ac:dyDescent="0.3">
      <c r="A669" s="4"/>
      <c r="B669" s="1"/>
      <c r="C669" s="2"/>
      <c r="D669" s="2"/>
      <c r="E669" s="5">
        <f t="shared" si="24"/>
        <v>0</v>
      </c>
      <c r="F669" s="6">
        <f t="shared" si="25"/>
        <v>0</v>
      </c>
    </row>
    <row r="670" spans="1:6" x14ac:dyDescent="0.3">
      <c r="A670" s="4"/>
      <c r="B670" s="1"/>
      <c r="C670" s="2"/>
      <c r="D670" s="2"/>
      <c r="E670" s="5">
        <f t="shared" si="24"/>
        <v>0</v>
      </c>
      <c r="F670" s="6">
        <f t="shared" si="25"/>
        <v>0</v>
      </c>
    </row>
    <row r="671" spans="1:6" x14ac:dyDescent="0.3">
      <c r="A671" s="4"/>
      <c r="B671" s="1"/>
      <c r="C671" s="2"/>
      <c r="D671" s="2"/>
      <c r="E671" s="5">
        <f t="shared" si="24"/>
        <v>0</v>
      </c>
      <c r="F671" s="6">
        <f t="shared" si="25"/>
        <v>0</v>
      </c>
    </row>
    <row r="672" spans="1:6" x14ac:dyDescent="0.3">
      <c r="A672" s="4"/>
      <c r="B672" s="1"/>
      <c r="C672" s="2"/>
      <c r="D672" s="2"/>
      <c r="E672" s="5">
        <f t="shared" si="24"/>
        <v>0</v>
      </c>
      <c r="F672" s="6">
        <f t="shared" si="25"/>
        <v>0</v>
      </c>
    </row>
    <row r="673" spans="1:6" x14ac:dyDescent="0.3">
      <c r="A673" s="4"/>
      <c r="B673" s="1"/>
      <c r="C673" s="2"/>
      <c r="D673" s="2"/>
      <c r="E673" s="5">
        <f t="shared" si="24"/>
        <v>0</v>
      </c>
      <c r="F673" s="6">
        <f t="shared" si="25"/>
        <v>0</v>
      </c>
    </row>
    <row r="674" spans="1:6" x14ac:dyDescent="0.3">
      <c r="A674" s="4"/>
      <c r="B674" s="1"/>
      <c r="C674" s="2"/>
      <c r="D674" s="2"/>
      <c r="E674" s="5">
        <f t="shared" si="24"/>
        <v>0</v>
      </c>
      <c r="F674" s="6">
        <f t="shared" si="25"/>
        <v>0</v>
      </c>
    </row>
    <row r="675" spans="1:6" x14ac:dyDescent="0.3">
      <c r="A675" s="4"/>
      <c r="B675" s="1"/>
      <c r="C675" s="2"/>
      <c r="D675" s="2"/>
      <c r="E675" s="5">
        <f t="shared" si="24"/>
        <v>0</v>
      </c>
      <c r="F675" s="6">
        <f t="shared" si="25"/>
        <v>0</v>
      </c>
    </row>
    <row r="676" spans="1:6" x14ac:dyDescent="0.3">
      <c r="A676" s="4"/>
      <c r="B676" s="1"/>
      <c r="C676" s="2"/>
      <c r="D676" s="2"/>
      <c r="E676" s="5">
        <f t="shared" si="24"/>
        <v>0</v>
      </c>
      <c r="F676" s="6">
        <f t="shared" si="25"/>
        <v>0</v>
      </c>
    </row>
    <row r="677" spans="1:6" x14ac:dyDescent="0.3">
      <c r="A677" s="4"/>
      <c r="B677" s="1"/>
      <c r="C677" s="2"/>
      <c r="D677" s="2"/>
      <c r="E677" s="5">
        <f t="shared" si="24"/>
        <v>0</v>
      </c>
      <c r="F677" s="6">
        <f t="shared" si="25"/>
        <v>0</v>
      </c>
    </row>
    <row r="678" spans="1:6" x14ac:dyDescent="0.3">
      <c r="A678" s="4"/>
      <c r="B678" s="1"/>
      <c r="C678" s="2"/>
      <c r="D678" s="2"/>
      <c r="E678" s="5">
        <f t="shared" si="24"/>
        <v>0</v>
      </c>
      <c r="F678" s="6">
        <f t="shared" si="25"/>
        <v>0</v>
      </c>
    </row>
    <row r="679" spans="1:6" x14ac:dyDescent="0.3">
      <c r="A679" s="4"/>
      <c r="B679" s="1"/>
      <c r="C679" s="2"/>
      <c r="D679" s="2"/>
      <c r="E679" s="5">
        <f t="shared" si="24"/>
        <v>0</v>
      </c>
      <c r="F679" s="6">
        <f t="shared" si="25"/>
        <v>0</v>
      </c>
    </row>
    <row r="680" spans="1:6" x14ac:dyDescent="0.3">
      <c r="A680" s="4"/>
      <c r="B680" s="1"/>
      <c r="C680" s="2"/>
      <c r="D680" s="2"/>
      <c r="E680" s="5">
        <f t="shared" si="24"/>
        <v>0</v>
      </c>
      <c r="F680" s="6">
        <f t="shared" si="25"/>
        <v>0</v>
      </c>
    </row>
    <row r="681" spans="1:6" x14ac:dyDescent="0.3">
      <c r="A681" s="4"/>
      <c r="B681" s="1"/>
      <c r="C681" s="2"/>
      <c r="D681" s="2"/>
      <c r="E681" s="5">
        <f t="shared" si="24"/>
        <v>0</v>
      </c>
      <c r="F681" s="6">
        <f t="shared" si="25"/>
        <v>0</v>
      </c>
    </row>
    <row r="682" spans="1:6" x14ac:dyDescent="0.3">
      <c r="A682" s="4"/>
      <c r="B682" s="1"/>
      <c r="C682" s="2"/>
      <c r="D682" s="2"/>
      <c r="E682" s="5">
        <f t="shared" si="24"/>
        <v>0</v>
      </c>
      <c r="F682" s="6">
        <f t="shared" si="25"/>
        <v>0</v>
      </c>
    </row>
    <row r="683" spans="1:6" x14ac:dyDescent="0.3">
      <c r="A683" s="4"/>
      <c r="B683" s="1"/>
      <c r="C683" s="2"/>
      <c r="D683" s="2"/>
      <c r="E683" s="5">
        <f t="shared" si="24"/>
        <v>0</v>
      </c>
      <c r="F683" s="6">
        <f t="shared" si="25"/>
        <v>0</v>
      </c>
    </row>
    <row r="684" spans="1:6" x14ac:dyDescent="0.3">
      <c r="A684" s="4"/>
      <c r="B684" s="1"/>
      <c r="C684" s="2"/>
      <c r="D684" s="2"/>
      <c r="E684" s="5">
        <f t="shared" si="24"/>
        <v>0</v>
      </c>
      <c r="F684" s="6">
        <f t="shared" si="25"/>
        <v>0</v>
      </c>
    </row>
    <row r="685" spans="1:6" x14ac:dyDescent="0.3">
      <c r="A685" s="4"/>
      <c r="B685" s="1"/>
      <c r="C685" s="2"/>
      <c r="D685" s="2"/>
      <c r="E685" s="5">
        <f t="shared" si="24"/>
        <v>0</v>
      </c>
      <c r="F685" s="6">
        <f t="shared" si="25"/>
        <v>0</v>
      </c>
    </row>
    <row r="686" spans="1:6" x14ac:dyDescent="0.3">
      <c r="A686" s="4"/>
      <c r="B686" s="1"/>
      <c r="C686" s="2"/>
      <c r="D686" s="2"/>
      <c r="E686" s="5">
        <f t="shared" si="24"/>
        <v>0</v>
      </c>
      <c r="F686" s="6">
        <f t="shared" si="25"/>
        <v>0</v>
      </c>
    </row>
    <row r="687" spans="1:6" x14ac:dyDescent="0.3">
      <c r="A687" s="4"/>
      <c r="B687" s="1"/>
      <c r="C687" s="2"/>
      <c r="D687" s="2"/>
      <c r="E687" s="5">
        <f t="shared" si="24"/>
        <v>0</v>
      </c>
      <c r="F687" s="6">
        <f t="shared" si="25"/>
        <v>0</v>
      </c>
    </row>
    <row r="688" spans="1:6" x14ac:dyDescent="0.3">
      <c r="A688" s="4"/>
      <c r="B688" s="1"/>
      <c r="C688" s="2"/>
      <c r="D688" s="2"/>
      <c r="E688" s="5">
        <f t="shared" si="24"/>
        <v>0</v>
      </c>
      <c r="F688" s="6">
        <f t="shared" si="25"/>
        <v>0</v>
      </c>
    </row>
    <row r="689" spans="1:6" x14ac:dyDescent="0.3">
      <c r="A689" s="4"/>
      <c r="B689" s="1"/>
      <c r="C689" s="2"/>
      <c r="D689" s="2"/>
      <c r="E689" s="5">
        <f t="shared" si="24"/>
        <v>0</v>
      </c>
      <c r="F689" s="6">
        <f t="shared" si="25"/>
        <v>0</v>
      </c>
    </row>
    <row r="690" spans="1:6" x14ac:dyDescent="0.3">
      <c r="A690" s="4"/>
      <c r="B690" s="1"/>
      <c r="C690" s="2"/>
      <c r="D690" s="2"/>
      <c r="E690" s="5">
        <f t="shared" si="24"/>
        <v>0</v>
      </c>
      <c r="F690" s="6">
        <f t="shared" si="25"/>
        <v>0</v>
      </c>
    </row>
    <row r="691" spans="1:6" x14ac:dyDescent="0.3">
      <c r="A691" s="4"/>
      <c r="B691" s="1"/>
      <c r="C691" s="2"/>
      <c r="D691" s="2"/>
      <c r="E691" s="5">
        <f t="shared" si="24"/>
        <v>0</v>
      </c>
      <c r="F691" s="6">
        <f t="shared" si="25"/>
        <v>0</v>
      </c>
    </row>
    <row r="692" spans="1:6" x14ac:dyDescent="0.3">
      <c r="A692" s="4"/>
      <c r="B692" s="1"/>
      <c r="C692" s="2"/>
      <c r="D692" s="2"/>
      <c r="E692" s="5">
        <f t="shared" si="24"/>
        <v>0</v>
      </c>
      <c r="F692" s="6">
        <f t="shared" si="25"/>
        <v>0</v>
      </c>
    </row>
    <row r="693" spans="1:6" x14ac:dyDescent="0.3">
      <c r="A693" s="4"/>
      <c r="B693" s="1"/>
      <c r="C693" s="2"/>
      <c r="D693" s="2"/>
      <c r="E693" s="5">
        <f t="shared" si="24"/>
        <v>0</v>
      </c>
      <c r="F693" s="6">
        <f t="shared" si="25"/>
        <v>0</v>
      </c>
    </row>
    <row r="694" spans="1:6" x14ac:dyDescent="0.3">
      <c r="A694" s="4"/>
      <c r="B694" s="1"/>
      <c r="C694" s="2"/>
      <c r="D694" s="2"/>
      <c r="E694" s="5">
        <f t="shared" si="24"/>
        <v>0</v>
      </c>
      <c r="F694" s="6">
        <f t="shared" si="25"/>
        <v>0</v>
      </c>
    </row>
    <row r="695" spans="1:6" x14ac:dyDescent="0.3">
      <c r="A695" s="4"/>
      <c r="B695" s="1"/>
      <c r="C695" s="2"/>
      <c r="D695" s="2"/>
      <c r="E695" s="5">
        <f t="shared" si="24"/>
        <v>0</v>
      </c>
      <c r="F695" s="6">
        <f t="shared" si="25"/>
        <v>0</v>
      </c>
    </row>
    <row r="696" spans="1:6" x14ac:dyDescent="0.3">
      <c r="A696" s="4"/>
      <c r="B696" s="1"/>
      <c r="C696" s="2"/>
      <c r="D696" s="2"/>
      <c r="E696" s="5">
        <f t="shared" si="24"/>
        <v>0</v>
      </c>
      <c r="F696" s="6">
        <f t="shared" si="25"/>
        <v>0</v>
      </c>
    </row>
    <row r="697" spans="1:6" x14ac:dyDescent="0.3">
      <c r="A697" s="4"/>
      <c r="B697" s="1"/>
      <c r="C697" s="2"/>
      <c r="D697" s="2"/>
      <c r="E697" s="5">
        <f t="shared" si="24"/>
        <v>0</v>
      </c>
      <c r="F697" s="6">
        <f t="shared" si="25"/>
        <v>0</v>
      </c>
    </row>
    <row r="698" spans="1:6" x14ac:dyDescent="0.3">
      <c r="A698" s="4"/>
      <c r="B698" s="1"/>
      <c r="C698" s="2"/>
      <c r="D698" s="2"/>
      <c r="E698" s="5">
        <f t="shared" si="24"/>
        <v>0</v>
      </c>
      <c r="F698" s="6">
        <f t="shared" si="25"/>
        <v>0</v>
      </c>
    </row>
    <row r="699" spans="1:6" x14ac:dyDescent="0.3">
      <c r="A699" s="4"/>
      <c r="B699" s="1"/>
      <c r="C699" s="2"/>
      <c r="D699" s="2"/>
      <c r="E699" s="5">
        <f t="shared" si="24"/>
        <v>0</v>
      </c>
      <c r="F699" s="6">
        <f t="shared" si="25"/>
        <v>0</v>
      </c>
    </row>
    <row r="700" spans="1:6" x14ac:dyDescent="0.3">
      <c r="A700" s="4"/>
      <c r="B700" s="1"/>
      <c r="C700" s="2"/>
      <c r="D700" s="2"/>
      <c r="E700" s="5">
        <f t="shared" si="24"/>
        <v>0</v>
      </c>
      <c r="F700" s="6">
        <f t="shared" si="25"/>
        <v>0</v>
      </c>
    </row>
    <row r="701" spans="1:6" x14ac:dyDescent="0.3">
      <c r="A701" s="4"/>
      <c r="B701" s="1"/>
      <c r="C701" s="2"/>
      <c r="D701" s="2"/>
      <c r="E701" s="5">
        <f t="shared" si="24"/>
        <v>0</v>
      </c>
      <c r="F701" s="6">
        <f t="shared" si="25"/>
        <v>0</v>
      </c>
    </row>
    <row r="702" spans="1:6" x14ac:dyDescent="0.3">
      <c r="A702" s="4"/>
      <c r="B702" s="1"/>
      <c r="C702" s="2"/>
      <c r="D702" s="2"/>
      <c r="E702" s="5">
        <f t="shared" si="24"/>
        <v>0</v>
      </c>
      <c r="F702" s="6">
        <f t="shared" si="25"/>
        <v>0</v>
      </c>
    </row>
    <row r="703" spans="1:6" x14ac:dyDescent="0.3">
      <c r="A703" s="4"/>
      <c r="B703" s="1"/>
      <c r="C703" s="2"/>
      <c r="D703" s="2"/>
      <c r="E703" s="5">
        <f t="shared" si="24"/>
        <v>0</v>
      </c>
      <c r="F703" s="6">
        <f t="shared" si="25"/>
        <v>0</v>
      </c>
    </row>
    <row r="704" spans="1:6" x14ac:dyDescent="0.3">
      <c r="A704" s="4"/>
      <c r="B704" s="1"/>
      <c r="C704" s="2"/>
      <c r="D704" s="2"/>
      <c r="E704" s="5">
        <f t="shared" si="24"/>
        <v>0</v>
      </c>
      <c r="F704" s="6">
        <f t="shared" si="25"/>
        <v>0</v>
      </c>
    </row>
    <row r="705" spans="1:6" x14ac:dyDescent="0.3">
      <c r="A705" s="4"/>
      <c r="B705" s="1"/>
      <c r="C705" s="2"/>
      <c r="D705" s="2"/>
      <c r="E705" s="5">
        <f t="shared" si="24"/>
        <v>0</v>
      </c>
      <c r="F705" s="6">
        <f t="shared" si="25"/>
        <v>0</v>
      </c>
    </row>
    <row r="706" spans="1:6" x14ac:dyDescent="0.3">
      <c r="A706" s="4"/>
      <c r="B706" s="1"/>
      <c r="C706" s="2"/>
      <c r="D706" s="2"/>
      <c r="E706" s="5">
        <f t="shared" si="24"/>
        <v>0</v>
      </c>
      <c r="F706" s="6">
        <f t="shared" si="25"/>
        <v>0</v>
      </c>
    </row>
    <row r="707" spans="1:6" x14ac:dyDescent="0.3">
      <c r="A707" s="4"/>
      <c r="B707" s="1"/>
      <c r="C707" s="2"/>
      <c r="D707" s="2"/>
      <c r="E707" s="5">
        <f t="shared" ref="E707:E770" si="26">D707-C707</f>
        <v>0</v>
      </c>
      <c r="F707" s="6">
        <f t="shared" ref="F707:F770" si="27">ROUND(VALUE(E707)*4,2)</f>
        <v>0</v>
      </c>
    </row>
    <row r="708" spans="1:6" x14ac:dyDescent="0.3">
      <c r="A708" s="4"/>
      <c r="B708" s="1"/>
      <c r="C708" s="2"/>
      <c r="D708" s="2"/>
      <c r="E708" s="5">
        <f t="shared" si="26"/>
        <v>0</v>
      </c>
      <c r="F708" s="6">
        <f t="shared" si="27"/>
        <v>0</v>
      </c>
    </row>
    <row r="709" spans="1:6" x14ac:dyDescent="0.3">
      <c r="A709" s="4"/>
      <c r="B709" s="1"/>
      <c r="C709" s="2"/>
      <c r="D709" s="2"/>
      <c r="E709" s="5">
        <f t="shared" si="26"/>
        <v>0</v>
      </c>
      <c r="F709" s="6">
        <f t="shared" si="27"/>
        <v>0</v>
      </c>
    </row>
    <row r="710" spans="1:6" x14ac:dyDescent="0.3">
      <c r="A710" s="4"/>
      <c r="B710" s="1"/>
      <c r="C710" s="2"/>
      <c r="D710" s="2"/>
      <c r="E710" s="5">
        <f t="shared" si="26"/>
        <v>0</v>
      </c>
      <c r="F710" s="6">
        <f t="shared" si="27"/>
        <v>0</v>
      </c>
    </row>
    <row r="711" spans="1:6" x14ac:dyDescent="0.3">
      <c r="A711" s="4"/>
      <c r="B711" s="1"/>
      <c r="C711" s="2"/>
      <c r="D711" s="2"/>
      <c r="E711" s="5">
        <f t="shared" si="26"/>
        <v>0</v>
      </c>
      <c r="F711" s="6">
        <f t="shared" si="27"/>
        <v>0</v>
      </c>
    </row>
    <row r="712" spans="1:6" x14ac:dyDescent="0.3">
      <c r="A712" s="4"/>
      <c r="B712" s="1"/>
      <c r="C712" s="2"/>
      <c r="D712" s="2"/>
      <c r="E712" s="5">
        <f t="shared" si="26"/>
        <v>0</v>
      </c>
      <c r="F712" s="6">
        <f t="shared" si="27"/>
        <v>0</v>
      </c>
    </row>
    <row r="713" spans="1:6" x14ac:dyDescent="0.3">
      <c r="A713" s="4"/>
      <c r="B713" s="1"/>
      <c r="C713" s="2"/>
      <c r="D713" s="2"/>
      <c r="E713" s="5">
        <f t="shared" si="26"/>
        <v>0</v>
      </c>
      <c r="F713" s="6">
        <f t="shared" si="27"/>
        <v>0</v>
      </c>
    </row>
    <row r="714" spans="1:6" x14ac:dyDescent="0.3">
      <c r="A714" s="4"/>
      <c r="B714" s="1"/>
      <c r="C714" s="2"/>
      <c r="D714" s="2"/>
      <c r="E714" s="5">
        <f t="shared" si="26"/>
        <v>0</v>
      </c>
      <c r="F714" s="6">
        <f t="shared" si="27"/>
        <v>0</v>
      </c>
    </row>
    <row r="715" spans="1:6" x14ac:dyDescent="0.3">
      <c r="A715" s="4"/>
      <c r="B715" s="1"/>
      <c r="C715" s="2"/>
      <c r="D715" s="2"/>
      <c r="E715" s="5">
        <f t="shared" si="26"/>
        <v>0</v>
      </c>
      <c r="F715" s="6">
        <f t="shared" si="27"/>
        <v>0</v>
      </c>
    </row>
    <row r="716" spans="1:6" x14ac:dyDescent="0.3">
      <c r="A716" s="4"/>
      <c r="B716" s="1"/>
      <c r="C716" s="2"/>
      <c r="D716" s="2"/>
      <c r="E716" s="5">
        <f t="shared" si="26"/>
        <v>0</v>
      </c>
      <c r="F716" s="6">
        <f t="shared" si="27"/>
        <v>0</v>
      </c>
    </row>
    <row r="717" spans="1:6" x14ac:dyDescent="0.3">
      <c r="A717" s="4"/>
      <c r="B717" s="1"/>
      <c r="C717" s="2"/>
      <c r="D717" s="2"/>
      <c r="E717" s="5">
        <f t="shared" si="26"/>
        <v>0</v>
      </c>
      <c r="F717" s="6">
        <f t="shared" si="27"/>
        <v>0</v>
      </c>
    </row>
    <row r="718" spans="1:6" x14ac:dyDescent="0.3">
      <c r="A718" s="4"/>
      <c r="B718" s="1"/>
      <c r="C718" s="2"/>
      <c r="D718" s="2"/>
      <c r="E718" s="5">
        <f t="shared" si="26"/>
        <v>0</v>
      </c>
      <c r="F718" s="6">
        <f t="shared" si="27"/>
        <v>0</v>
      </c>
    </row>
    <row r="719" spans="1:6" x14ac:dyDescent="0.3">
      <c r="A719" s="4"/>
      <c r="B719" s="1"/>
      <c r="C719" s="2"/>
      <c r="D719" s="2"/>
      <c r="E719" s="5">
        <f t="shared" si="26"/>
        <v>0</v>
      </c>
      <c r="F719" s="6">
        <f t="shared" si="27"/>
        <v>0</v>
      </c>
    </row>
    <row r="720" spans="1:6" x14ac:dyDescent="0.3">
      <c r="A720" s="4"/>
      <c r="B720" s="1"/>
      <c r="C720" s="2"/>
      <c r="D720" s="2"/>
      <c r="E720" s="5">
        <f t="shared" si="26"/>
        <v>0</v>
      </c>
      <c r="F720" s="6">
        <f t="shared" si="27"/>
        <v>0</v>
      </c>
    </row>
    <row r="721" spans="1:6" x14ac:dyDescent="0.3">
      <c r="A721" s="4"/>
      <c r="B721" s="1"/>
      <c r="C721" s="2"/>
      <c r="D721" s="2"/>
      <c r="E721" s="5">
        <f t="shared" si="26"/>
        <v>0</v>
      </c>
      <c r="F721" s="6">
        <f t="shared" si="27"/>
        <v>0</v>
      </c>
    </row>
    <row r="722" spans="1:6" x14ac:dyDescent="0.3">
      <c r="A722" s="4"/>
      <c r="B722" s="1"/>
      <c r="C722" s="2"/>
      <c r="D722" s="2"/>
      <c r="E722" s="5">
        <f t="shared" si="26"/>
        <v>0</v>
      </c>
      <c r="F722" s="6">
        <f t="shared" si="27"/>
        <v>0</v>
      </c>
    </row>
    <row r="723" spans="1:6" x14ac:dyDescent="0.3">
      <c r="A723" s="4"/>
      <c r="B723" s="1"/>
      <c r="C723" s="2"/>
      <c r="D723" s="2"/>
      <c r="E723" s="5">
        <f t="shared" si="26"/>
        <v>0</v>
      </c>
      <c r="F723" s="6">
        <f t="shared" si="27"/>
        <v>0</v>
      </c>
    </row>
    <row r="724" spans="1:6" x14ac:dyDescent="0.3">
      <c r="A724" s="4"/>
      <c r="B724" s="1"/>
      <c r="C724" s="2"/>
      <c r="D724" s="2"/>
      <c r="E724" s="5">
        <f t="shared" si="26"/>
        <v>0</v>
      </c>
      <c r="F724" s="6">
        <f t="shared" si="27"/>
        <v>0</v>
      </c>
    </row>
    <row r="725" spans="1:6" x14ac:dyDescent="0.3">
      <c r="A725" s="4"/>
      <c r="B725" s="1"/>
      <c r="C725" s="2"/>
      <c r="D725" s="2"/>
      <c r="E725" s="5">
        <f t="shared" si="26"/>
        <v>0</v>
      </c>
      <c r="F725" s="6">
        <f t="shared" si="27"/>
        <v>0</v>
      </c>
    </row>
    <row r="726" spans="1:6" x14ac:dyDescent="0.3">
      <c r="A726" s="4"/>
      <c r="B726" s="1"/>
      <c r="C726" s="2"/>
      <c r="D726" s="2"/>
      <c r="E726" s="5">
        <f t="shared" si="26"/>
        <v>0</v>
      </c>
      <c r="F726" s="6">
        <f t="shared" si="27"/>
        <v>0</v>
      </c>
    </row>
    <row r="727" spans="1:6" x14ac:dyDescent="0.3">
      <c r="A727" s="4"/>
      <c r="B727" s="1"/>
      <c r="C727" s="2"/>
      <c r="D727" s="2"/>
      <c r="E727" s="5">
        <f t="shared" si="26"/>
        <v>0</v>
      </c>
      <c r="F727" s="6">
        <f t="shared" si="27"/>
        <v>0</v>
      </c>
    </row>
    <row r="728" spans="1:6" x14ac:dyDescent="0.3">
      <c r="A728" s="4"/>
      <c r="B728" s="1"/>
      <c r="C728" s="2"/>
      <c r="D728" s="2"/>
      <c r="E728" s="5">
        <f t="shared" si="26"/>
        <v>0</v>
      </c>
      <c r="F728" s="6">
        <f t="shared" si="27"/>
        <v>0</v>
      </c>
    </row>
    <row r="729" spans="1:6" x14ac:dyDescent="0.3">
      <c r="A729" s="4"/>
      <c r="B729" s="1"/>
      <c r="C729" s="2"/>
      <c r="D729" s="2"/>
      <c r="E729" s="5">
        <f t="shared" si="26"/>
        <v>0</v>
      </c>
      <c r="F729" s="6">
        <f t="shared" si="27"/>
        <v>0</v>
      </c>
    </row>
    <row r="730" spans="1:6" x14ac:dyDescent="0.3">
      <c r="A730" s="4"/>
      <c r="B730" s="1"/>
      <c r="C730" s="2"/>
      <c r="D730" s="2"/>
      <c r="E730" s="5">
        <f t="shared" si="26"/>
        <v>0</v>
      </c>
      <c r="F730" s="6">
        <f t="shared" si="27"/>
        <v>0</v>
      </c>
    </row>
    <row r="731" spans="1:6" x14ac:dyDescent="0.3">
      <c r="A731" s="4"/>
      <c r="B731" s="1"/>
      <c r="C731" s="2"/>
      <c r="D731" s="2"/>
      <c r="E731" s="5">
        <f t="shared" si="26"/>
        <v>0</v>
      </c>
      <c r="F731" s="6">
        <f t="shared" si="27"/>
        <v>0</v>
      </c>
    </row>
    <row r="732" spans="1:6" x14ac:dyDescent="0.3">
      <c r="A732" s="4"/>
      <c r="B732" s="1"/>
      <c r="C732" s="2"/>
      <c r="D732" s="2"/>
      <c r="E732" s="5">
        <f t="shared" si="26"/>
        <v>0</v>
      </c>
      <c r="F732" s="6">
        <f t="shared" si="27"/>
        <v>0</v>
      </c>
    </row>
    <row r="733" spans="1:6" x14ac:dyDescent="0.3">
      <c r="A733" s="4"/>
      <c r="B733" s="1"/>
      <c r="C733" s="2"/>
      <c r="D733" s="2"/>
      <c r="E733" s="5">
        <f t="shared" si="26"/>
        <v>0</v>
      </c>
      <c r="F733" s="6">
        <f t="shared" si="27"/>
        <v>0</v>
      </c>
    </row>
    <row r="734" spans="1:6" x14ac:dyDescent="0.3">
      <c r="A734" s="4"/>
      <c r="B734" s="1"/>
      <c r="C734" s="2"/>
      <c r="D734" s="2"/>
      <c r="E734" s="5">
        <f t="shared" si="26"/>
        <v>0</v>
      </c>
      <c r="F734" s="6">
        <f t="shared" si="27"/>
        <v>0</v>
      </c>
    </row>
    <row r="735" spans="1:6" x14ac:dyDescent="0.3">
      <c r="A735" s="4"/>
      <c r="B735" s="1"/>
      <c r="C735" s="2"/>
      <c r="D735" s="2"/>
      <c r="E735" s="5">
        <f t="shared" si="26"/>
        <v>0</v>
      </c>
      <c r="F735" s="6">
        <f t="shared" si="27"/>
        <v>0</v>
      </c>
    </row>
    <row r="736" spans="1:6" x14ac:dyDescent="0.3">
      <c r="A736" s="4"/>
      <c r="B736" s="1"/>
      <c r="C736" s="2"/>
      <c r="D736" s="2"/>
      <c r="E736" s="5">
        <f t="shared" si="26"/>
        <v>0</v>
      </c>
      <c r="F736" s="6">
        <f t="shared" si="27"/>
        <v>0</v>
      </c>
    </row>
    <row r="737" spans="1:6" x14ac:dyDescent="0.3">
      <c r="A737" s="4"/>
      <c r="B737" s="1"/>
      <c r="C737" s="2"/>
      <c r="D737" s="2"/>
      <c r="E737" s="5">
        <f t="shared" si="26"/>
        <v>0</v>
      </c>
      <c r="F737" s="6">
        <f t="shared" si="27"/>
        <v>0</v>
      </c>
    </row>
    <row r="738" spans="1:6" x14ac:dyDescent="0.3">
      <c r="A738" s="4"/>
      <c r="B738" s="1"/>
      <c r="C738" s="2"/>
      <c r="D738" s="2"/>
      <c r="E738" s="5">
        <f t="shared" si="26"/>
        <v>0</v>
      </c>
      <c r="F738" s="6">
        <f t="shared" si="27"/>
        <v>0</v>
      </c>
    </row>
    <row r="739" spans="1:6" x14ac:dyDescent="0.3">
      <c r="A739" s="4"/>
      <c r="B739" s="1"/>
      <c r="C739" s="2"/>
      <c r="D739" s="2"/>
      <c r="E739" s="5">
        <f t="shared" si="26"/>
        <v>0</v>
      </c>
      <c r="F739" s="6">
        <f t="shared" si="27"/>
        <v>0</v>
      </c>
    </row>
    <row r="740" spans="1:6" x14ac:dyDescent="0.3">
      <c r="A740" s="4"/>
      <c r="B740" s="1"/>
      <c r="C740" s="2"/>
      <c r="D740" s="2"/>
      <c r="E740" s="5">
        <f t="shared" si="26"/>
        <v>0</v>
      </c>
      <c r="F740" s="6">
        <f t="shared" si="27"/>
        <v>0</v>
      </c>
    </row>
    <row r="741" spans="1:6" x14ac:dyDescent="0.3">
      <c r="A741" s="4"/>
      <c r="B741" s="1"/>
      <c r="C741" s="2"/>
      <c r="D741" s="2"/>
      <c r="E741" s="5">
        <f t="shared" si="26"/>
        <v>0</v>
      </c>
      <c r="F741" s="6">
        <f t="shared" si="27"/>
        <v>0</v>
      </c>
    </row>
    <row r="742" spans="1:6" x14ac:dyDescent="0.3">
      <c r="A742" s="4"/>
      <c r="B742" s="1"/>
      <c r="C742" s="2"/>
      <c r="D742" s="2"/>
      <c r="E742" s="5">
        <f t="shared" si="26"/>
        <v>0</v>
      </c>
      <c r="F742" s="6">
        <f t="shared" si="27"/>
        <v>0</v>
      </c>
    </row>
    <row r="743" spans="1:6" x14ac:dyDescent="0.3">
      <c r="A743" s="4"/>
      <c r="B743" s="1"/>
      <c r="C743" s="2"/>
      <c r="D743" s="2"/>
      <c r="E743" s="5">
        <f t="shared" si="26"/>
        <v>0</v>
      </c>
      <c r="F743" s="6">
        <f t="shared" si="27"/>
        <v>0</v>
      </c>
    </row>
    <row r="744" spans="1:6" x14ac:dyDescent="0.3">
      <c r="A744" s="4"/>
      <c r="B744" s="1"/>
      <c r="C744" s="2"/>
      <c r="D744" s="2"/>
      <c r="E744" s="5">
        <f t="shared" si="26"/>
        <v>0</v>
      </c>
      <c r="F744" s="6">
        <f t="shared" si="27"/>
        <v>0</v>
      </c>
    </row>
    <row r="745" spans="1:6" x14ac:dyDescent="0.3">
      <c r="A745" s="4"/>
      <c r="B745" s="1"/>
      <c r="C745" s="2"/>
      <c r="D745" s="2"/>
      <c r="E745" s="5">
        <f t="shared" si="26"/>
        <v>0</v>
      </c>
      <c r="F745" s="6">
        <f t="shared" si="27"/>
        <v>0</v>
      </c>
    </row>
    <row r="746" spans="1:6" x14ac:dyDescent="0.3">
      <c r="A746" s="4"/>
      <c r="B746" s="1"/>
      <c r="C746" s="2"/>
      <c r="D746" s="2"/>
      <c r="E746" s="5">
        <f t="shared" si="26"/>
        <v>0</v>
      </c>
      <c r="F746" s="6">
        <f t="shared" si="27"/>
        <v>0</v>
      </c>
    </row>
    <row r="747" spans="1:6" x14ac:dyDescent="0.3">
      <c r="A747" s="4"/>
      <c r="B747" s="1"/>
      <c r="C747" s="2"/>
      <c r="D747" s="2"/>
      <c r="E747" s="5">
        <f t="shared" si="26"/>
        <v>0</v>
      </c>
      <c r="F747" s="6">
        <f t="shared" si="27"/>
        <v>0</v>
      </c>
    </row>
    <row r="748" spans="1:6" x14ac:dyDescent="0.3">
      <c r="A748" s="4"/>
      <c r="B748" s="1"/>
      <c r="C748" s="2"/>
      <c r="D748" s="2"/>
      <c r="E748" s="5">
        <f t="shared" si="26"/>
        <v>0</v>
      </c>
      <c r="F748" s="6">
        <f t="shared" si="27"/>
        <v>0</v>
      </c>
    </row>
    <row r="749" spans="1:6" x14ac:dyDescent="0.3">
      <c r="A749" s="4"/>
      <c r="B749" s="1"/>
      <c r="C749" s="2"/>
      <c r="D749" s="2"/>
      <c r="E749" s="5">
        <f t="shared" si="26"/>
        <v>0</v>
      </c>
      <c r="F749" s="6">
        <f t="shared" si="27"/>
        <v>0</v>
      </c>
    </row>
    <row r="750" spans="1:6" x14ac:dyDescent="0.3">
      <c r="A750" s="4"/>
      <c r="B750" s="1"/>
      <c r="C750" s="2"/>
      <c r="D750" s="2"/>
      <c r="E750" s="5">
        <f t="shared" si="26"/>
        <v>0</v>
      </c>
      <c r="F750" s="6">
        <f t="shared" si="27"/>
        <v>0</v>
      </c>
    </row>
    <row r="751" spans="1:6" x14ac:dyDescent="0.3">
      <c r="A751" s="4"/>
      <c r="B751" s="1"/>
      <c r="C751" s="2"/>
      <c r="D751" s="2"/>
      <c r="E751" s="5">
        <f t="shared" si="26"/>
        <v>0</v>
      </c>
      <c r="F751" s="6">
        <f t="shared" si="27"/>
        <v>0</v>
      </c>
    </row>
    <row r="752" spans="1:6" x14ac:dyDescent="0.3">
      <c r="A752" s="4"/>
      <c r="B752" s="1"/>
      <c r="C752" s="2"/>
      <c r="D752" s="2"/>
      <c r="E752" s="5">
        <f t="shared" si="26"/>
        <v>0</v>
      </c>
      <c r="F752" s="6">
        <f t="shared" si="27"/>
        <v>0</v>
      </c>
    </row>
    <row r="753" spans="1:6" x14ac:dyDescent="0.3">
      <c r="A753" s="4"/>
      <c r="B753" s="1"/>
      <c r="C753" s="2"/>
      <c r="D753" s="2"/>
      <c r="E753" s="5">
        <f t="shared" si="26"/>
        <v>0</v>
      </c>
      <c r="F753" s="6">
        <f t="shared" si="27"/>
        <v>0</v>
      </c>
    </row>
    <row r="754" spans="1:6" x14ac:dyDescent="0.3">
      <c r="A754" s="4"/>
      <c r="B754" s="1"/>
      <c r="C754" s="2"/>
      <c r="D754" s="2"/>
      <c r="E754" s="5">
        <f t="shared" si="26"/>
        <v>0</v>
      </c>
      <c r="F754" s="6">
        <f t="shared" si="27"/>
        <v>0</v>
      </c>
    </row>
    <row r="755" spans="1:6" x14ac:dyDescent="0.3">
      <c r="A755" s="4"/>
      <c r="B755" s="1"/>
      <c r="C755" s="2"/>
      <c r="D755" s="2"/>
      <c r="E755" s="5">
        <f t="shared" si="26"/>
        <v>0</v>
      </c>
      <c r="F755" s="6">
        <f t="shared" si="27"/>
        <v>0</v>
      </c>
    </row>
    <row r="756" spans="1:6" x14ac:dyDescent="0.3">
      <c r="A756" s="4"/>
      <c r="B756" s="1"/>
      <c r="C756" s="2"/>
      <c r="D756" s="2"/>
      <c r="E756" s="5">
        <f t="shared" si="26"/>
        <v>0</v>
      </c>
      <c r="F756" s="6">
        <f t="shared" si="27"/>
        <v>0</v>
      </c>
    </row>
    <row r="757" spans="1:6" x14ac:dyDescent="0.3">
      <c r="A757" s="4"/>
      <c r="B757" s="1"/>
      <c r="C757" s="2"/>
      <c r="D757" s="2"/>
      <c r="E757" s="5">
        <f t="shared" si="26"/>
        <v>0</v>
      </c>
      <c r="F757" s="6">
        <f t="shared" si="27"/>
        <v>0</v>
      </c>
    </row>
    <row r="758" spans="1:6" x14ac:dyDescent="0.3">
      <c r="A758" s="4"/>
      <c r="B758" s="1"/>
      <c r="C758" s="2"/>
      <c r="D758" s="2"/>
      <c r="E758" s="5">
        <f t="shared" si="26"/>
        <v>0</v>
      </c>
      <c r="F758" s="6">
        <f t="shared" si="27"/>
        <v>0</v>
      </c>
    </row>
    <row r="759" spans="1:6" x14ac:dyDescent="0.3">
      <c r="A759" s="4"/>
      <c r="B759" s="1"/>
      <c r="C759" s="2"/>
      <c r="D759" s="2"/>
      <c r="E759" s="5">
        <f t="shared" si="26"/>
        <v>0</v>
      </c>
      <c r="F759" s="6">
        <f t="shared" si="27"/>
        <v>0</v>
      </c>
    </row>
    <row r="760" spans="1:6" x14ac:dyDescent="0.3">
      <c r="A760" s="4"/>
      <c r="B760" s="1"/>
      <c r="C760" s="2"/>
      <c r="D760" s="2"/>
      <c r="E760" s="5">
        <f t="shared" si="26"/>
        <v>0</v>
      </c>
      <c r="F760" s="6">
        <f t="shared" si="27"/>
        <v>0</v>
      </c>
    </row>
    <row r="761" spans="1:6" x14ac:dyDescent="0.3">
      <c r="A761" s="4"/>
      <c r="B761" s="1"/>
      <c r="C761" s="2"/>
      <c r="D761" s="2"/>
      <c r="E761" s="5">
        <f t="shared" si="26"/>
        <v>0</v>
      </c>
      <c r="F761" s="6">
        <f t="shared" si="27"/>
        <v>0</v>
      </c>
    </row>
    <row r="762" spans="1:6" x14ac:dyDescent="0.3">
      <c r="A762" s="4"/>
      <c r="B762" s="1"/>
      <c r="C762" s="2"/>
      <c r="D762" s="2"/>
      <c r="E762" s="5">
        <f t="shared" si="26"/>
        <v>0</v>
      </c>
      <c r="F762" s="6">
        <f t="shared" si="27"/>
        <v>0</v>
      </c>
    </row>
    <row r="763" spans="1:6" x14ac:dyDescent="0.3">
      <c r="A763" s="4"/>
      <c r="B763" s="1"/>
      <c r="C763" s="2"/>
      <c r="D763" s="2"/>
      <c r="E763" s="5">
        <f t="shared" si="26"/>
        <v>0</v>
      </c>
      <c r="F763" s="6">
        <f t="shared" si="27"/>
        <v>0</v>
      </c>
    </row>
    <row r="764" spans="1:6" x14ac:dyDescent="0.3">
      <c r="A764" s="4"/>
      <c r="B764" s="1"/>
      <c r="C764" s="2"/>
      <c r="D764" s="2"/>
      <c r="E764" s="5">
        <f t="shared" si="26"/>
        <v>0</v>
      </c>
      <c r="F764" s="6">
        <f t="shared" si="27"/>
        <v>0</v>
      </c>
    </row>
    <row r="765" spans="1:6" x14ac:dyDescent="0.3">
      <c r="A765" s="4"/>
      <c r="B765" s="1"/>
      <c r="C765" s="2"/>
      <c r="D765" s="2"/>
      <c r="E765" s="5">
        <f t="shared" si="26"/>
        <v>0</v>
      </c>
      <c r="F765" s="6">
        <f t="shared" si="27"/>
        <v>0</v>
      </c>
    </row>
    <row r="766" spans="1:6" x14ac:dyDescent="0.3">
      <c r="A766" s="4"/>
      <c r="B766" s="1"/>
      <c r="C766" s="2"/>
      <c r="D766" s="2"/>
      <c r="E766" s="5">
        <f t="shared" si="26"/>
        <v>0</v>
      </c>
      <c r="F766" s="6">
        <f t="shared" si="27"/>
        <v>0</v>
      </c>
    </row>
    <row r="767" spans="1:6" x14ac:dyDescent="0.3">
      <c r="A767" s="4"/>
      <c r="B767" s="1"/>
      <c r="C767" s="2"/>
      <c r="D767" s="2"/>
      <c r="E767" s="5">
        <f t="shared" si="26"/>
        <v>0</v>
      </c>
      <c r="F767" s="6">
        <f t="shared" si="27"/>
        <v>0</v>
      </c>
    </row>
    <row r="768" spans="1:6" x14ac:dyDescent="0.3">
      <c r="A768" s="4"/>
      <c r="B768" s="1"/>
      <c r="C768" s="2"/>
      <c r="D768" s="2"/>
      <c r="E768" s="5">
        <f t="shared" si="26"/>
        <v>0</v>
      </c>
      <c r="F768" s="6">
        <f t="shared" si="27"/>
        <v>0</v>
      </c>
    </row>
    <row r="769" spans="1:6" x14ac:dyDescent="0.3">
      <c r="A769" s="4"/>
      <c r="B769" s="1"/>
      <c r="C769" s="2"/>
      <c r="D769" s="2"/>
      <c r="E769" s="5">
        <f t="shared" si="26"/>
        <v>0</v>
      </c>
      <c r="F769" s="6">
        <f t="shared" si="27"/>
        <v>0</v>
      </c>
    </row>
    <row r="770" spans="1:6" x14ac:dyDescent="0.3">
      <c r="A770" s="4"/>
      <c r="B770" s="1"/>
      <c r="C770" s="2"/>
      <c r="D770" s="2"/>
      <c r="E770" s="5">
        <f t="shared" si="26"/>
        <v>0</v>
      </c>
      <c r="F770" s="6">
        <f t="shared" si="27"/>
        <v>0</v>
      </c>
    </row>
    <row r="771" spans="1:6" x14ac:dyDescent="0.3">
      <c r="A771" s="4"/>
      <c r="B771" s="1"/>
      <c r="C771" s="2"/>
      <c r="D771" s="2"/>
      <c r="E771" s="5">
        <f t="shared" ref="E771:E834" si="28">D771-C771</f>
        <v>0</v>
      </c>
      <c r="F771" s="6">
        <f t="shared" ref="F771:F834" si="29">ROUND(VALUE(E771)*4,2)</f>
        <v>0</v>
      </c>
    </row>
    <row r="772" spans="1:6" x14ac:dyDescent="0.3">
      <c r="A772" s="4"/>
      <c r="B772" s="1"/>
      <c r="C772" s="2"/>
      <c r="D772" s="2"/>
      <c r="E772" s="5">
        <f t="shared" si="28"/>
        <v>0</v>
      </c>
      <c r="F772" s="6">
        <f t="shared" si="29"/>
        <v>0</v>
      </c>
    </row>
    <row r="773" spans="1:6" x14ac:dyDescent="0.3">
      <c r="A773" s="4"/>
      <c r="B773" s="1"/>
      <c r="C773" s="2"/>
      <c r="D773" s="2"/>
      <c r="E773" s="5">
        <f t="shared" si="28"/>
        <v>0</v>
      </c>
      <c r="F773" s="6">
        <f t="shared" si="29"/>
        <v>0</v>
      </c>
    </row>
    <row r="774" spans="1:6" x14ac:dyDescent="0.3">
      <c r="A774" s="4"/>
      <c r="B774" s="1"/>
      <c r="C774" s="2"/>
      <c r="D774" s="2"/>
      <c r="E774" s="5">
        <f t="shared" si="28"/>
        <v>0</v>
      </c>
      <c r="F774" s="6">
        <f t="shared" si="29"/>
        <v>0</v>
      </c>
    </row>
    <row r="775" spans="1:6" x14ac:dyDescent="0.3">
      <c r="A775" s="4"/>
      <c r="B775" s="1"/>
      <c r="C775" s="2"/>
      <c r="D775" s="2"/>
      <c r="E775" s="5">
        <f t="shared" si="28"/>
        <v>0</v>
      </c>
      <c r="F775" s="6">
        <f t="shared" si="29"/>
        <v>0</v>
      </c>
    </row>
    <row r="776" spans="1:6" x14ac:dyDescent="0.3">
      <c r="A776" s="4"/>
      <c r="B776" s="1"/>
      <c r="C776" s="2"/>
      <c r="D776" s="2"/>
      <c r="E776" s="5">
        <f t="shared" si="28"/>
        <v>0</v>
      </c>
      <c r="F776" s="6">
        <f t="shared" si="29"/>
        <v>0</v>
      </c>
    </row>
    <row r="777" spans="1:6" x14ac:dyDescent="0.3">
      <c r="A777" s="4"/>
      <c r="B777" s="1"/>
      <c r="C777" s="2"/>
      <c r="D777" s="2"/>
      <c r="E777" s="5">
        <f t="shared" si="28"/>
        <v>0</v>
      </c>
      <c r="F777" s="6">
        <f t="shared" si="29"/>
        <v>0</v>
      </c>
    </row>
    <row r="778" spans="1:6" x14ac:dyDescent="0.3">
      <c r="A778" s="4"/>
      <c r="B778" s="1"/>
      <c r="C778" s="2"/>
      <c r="D778" s="2"/>
      <c r="E778" s="5">
        <f t="shared" si="28"/>
        <v>0</v>
      </c>
      <c r="F778" s="6">
        <f t="shared" si="29"/>
        <v>0</v>
      </c>
    </row>
    <row r="779" spans="1:6" x14ac:dyDescent="0.3">
      <c r="A779" s="4"/>
      <c r="B779" s="1"/>
      <c r="C779" s="2"/>
      <c r="D779" s="2"/>
      <c r="E779" s="5">
        <f t="shared" si="28"/>
        <v>0</v>
      </c>
      <c r="F779" s="6">
        <f t="shared" si="29"/>
        <v>0</v>
      </c>
    </row>
    <row r="780" spans="1:6" x14ac:dyDescent="0.3">
      <c r="A780" s="4"/>
      <c r="B780" s="1"/>
      <c r="C780" s="2"/>
      <c r="D780" s="2"/>
      <c r="E780" s="5">
        <f t="shared" si="28"/>
        <v>0</v>
      </c>
      <c r="F780" s="6">
        <f t="shared" si="29"/>
        <v>0</v>
      </c>
    </row>
    <row r="781" spans="1:6" x14ac:dyDescent="0.3">
      <c r="A781" s="4"/>
      <c r="B781" s="1"/>
      <c r="C781" s="2"/>
      <c r="D781" s="2"/>
      <c r="E781" s="5">
        <f t="shared" si="28"/>
        <v>0</v>
      </c>
      <c r="F781" s="6">
        <f t="shared" si="29"/>
        <v>0</v>
      </c>
    </row>
    <row r="782" spans="1:6" x14ac:dyDescent="0.3">
      <c r="A782" s="4"/>
      <c r="B782" s="1"/>
      <c r="C782" s="2"/>
      <c r="D782" s="2"/>
      <c r="E782" s="5">
        <f t="shared" si="28"/>
        <v>0</v>
      </c>
      <c r="F782" s="6">
        <f t="shared" si="29"/>
        <v>0</v>
      </c>
    </row>
    <row r="783" spans="1:6" x14ac:dyDescent="0.3">
      <c r="A783" s="4"/>
      <c r="B783" s="1"/>
      <c r="C783" s="2"/>
      <c r="D783" s="2"/>
      <c r="E783" s="5">
        <f t="shared" si="28"/>
        <v>0</v>
      </c>
      <c r="F783" s="6">
        <f t="shared" si="29"/>
        <v>0</v>
      </c>
    </row>
    <row r="784" spans="1:6" x14ac:dyDescent="0.3">
      <c r="A784" s="4"/>
      <c r="B784" s="1"/>
      <c r="C784" s="2"/>
      <c r="D784" s="2"/>
      <c r="E784" s="5">
        <f t="shared" si="28"/>
        <v>0</v>
      </c>
      <c r="F784" s="6">
        <f t="shared" si="29"/>
        <v>0</v>
      </c>
    </row>
    <row r="785" spans="1:6" x14ac:dyDescent="0.3">
      <c r="A785" s="4"/>
      <c r="B785" s="1"/>
      <c r="C785" s="2"/>
      <c r="D785" s="2"/>
      <c r="E785" s="5">
        <f t="shared" si="28"/>
        <v>0</v>
      </c>
      <c r="F785" s="6">
        <f t="shared" si="29"/>
        <v>0</v>
      </c>
    </row>
    <row r="786" spans="1:6" x14ac:dyDescent="0.3">
      <c r="A786" s="4"/>
      <c r="B786" s="1"/>
      <c r="C786" s="2"/>
      <c r="D786" s="2"/>
      <c r="E786" s="5">
        <f t="shared" si="28"/>
        <v>0</v>
      </c>
      <c r="F786" s="6">
        <f t="shared" si="29"/>
        <v>0</v>
      </c>
    </row>
    <row r="787" spans="1:6" x14ac:dyDescent="0.3">
      <c r="A787" s="4"/>
      <c r="B787" s="1"/>
      <c r="C787" s="2"/>
      <c r="D787" s="2"/>
      <c r="E787" s="5">
        <f t="shared" si="28"/>
        <v>0</v>
      </c>
      <c r="F787" s="6">
        <f t="shared" si="29"/>
        <v>0</v>
      </c>
    </row>
    <row r="788" spans="1:6" x14ac:dyDescent="0.3">
      <c r="A788" s="4"/>
      <c r="B788" s="1"/>
      <c r="C788" s="2"/>
      <c r="D788" s="2"/>
      <c r="E788" s="5">
        <f t="shared" si="28"/>
        <v>0</v>
      </c>
      <c r="F788" s="6">
        <f t="shared" si="29"/>
        <v>0</v>
      </c>
    </row>
    <row r="789" spans="1:6" x14ac:dyDescent="0.3">
      <c r="A789" s="4"/>
      <c r="B789" s="1"/>
      <c r="C789" s="2"/>
      <c r="D789" s="2"/>
      <c r="E789" s="5">
        <f t="shared" si="28"/>
        <v>0</v>
      </c>
      <c r="F789" s="6">
        <f t="shared" si="29"/>
        <v>0</v>
      </c>
    </row>
    <row r="790" spans="1:6" x14ac:dyDescent="0.3">
      <c r="A790" s="4"/>
      <c r="B790" s="1"/>
      <c r="C790" s="2"/>
      <c r="D790" s="2"/>
      <c r="E790" s="5">
        <f t="shared" si="28"/>
        <v>0</v>
      </c>
      <c r="F790" s="6">
        <f t="shared" si="29"/>
        <v>0</v>
      </c>
    </row>
    <row r="791" spans="1:6" x14ac:dyDescent="0.3">
      <c r="A791" s="4"/>
      <c r="B791" s="1"/>
      <c r="C791" s="2"/>
      <c r="D791" s="2"/>
      <c r="E791" s="5">
        <f t="shared" si="28"/>
        <v>0</v>
      </c>
      <c r="F791" s="6">
        <f t="shared" si="29"/>
        <v>0</v>
      </c>
    </row>
    <row r="792" spans="1:6" x14ac:dyDescent="0.3">
      <c r="A792" s="4"/>
      <c r="B792" s="1"/>
      <c r="C792" s="2"/>
      <c r="D792" s="2"/>
      <c r="E792" s="5">
        <f t="shared" si="28"/>
        <v>0</v>
      </c>
      <c r="F792" s="6">
        <f t="shared" si="29"/>
        <v>0</v>
      </c>
    </row>
    <row r="793" spans="1:6" x14ac:dyDescent="0.3">
      <c r="A793" s="4"/>
      <c r="B793" s="1"/>
      <c r="C793" s="2"/>
      <c r="D793" s="2"/>
      <c r="E793" s="5">
        <f t="shared" si="28"/>
        <v>0</v>
      </c>
      <c r="F793" s="6">
        <f t="shared" si="29"/>
        <v>0</v>
      </c>
    </row>
    <row r="794" spans="1:6" x14ac:dyDescent="0.3">
      <c r="A794" s="4"/>
      <c r="B794" s="1"/>
      <c r="C794" s="2"/>
      <c r="D794" s="2"/>
      <c r="E794" s="5">
        <f t="shared" si="28"/>
        <v>0</v>
      </c>
      <c r="F794" s="6">
        <f t="shared" si="29"/>
        <v>0</v>
      </c>
    </row>
    <row r="795" spans="1:6" x14ac:dyDescent="0.3">
      <c r="A795" s="4"/>
      <c r="B795" s="1"/>
      <c r="C795" s="2"/>
      <c r="D795" s="2"/>
      <c r="E795" s="5">
        <f t="shared" si="28"/>
        <v>0</v>
      </c>
      <c r="F795" s="6">
        <f t="shared" si="29"/>
        <v>0</v>
      </c>
    </row>
    <row r="796" spans="1:6" x14ac:dyDescent="0.3">
      <c r="A796" s="4"/>
      <c r="B796" s="1"/>
      <c r="C796" s="2"/>
      <c r="D796" s="2"/>
      <c r="E796" s="5">
        <f t="shared" si="28"/>
        <v>0</v>
      </c>
      <c r="F796" s="6">
        <f t="shared" si="29"/>
        <v>0</v>
      </c>
    </row>
    <row r="797" spans="1:6" x14ac:dyDescent="0.3">
      <c r="A797" s="4"/>
      <c r="B797" s="1"/>
      <c r="C797" s="2"/>
      <c r="D797" s="2"/>
      <c r="E797" s="5">
        <f t="shared" si="28"/>
        <v>0</v>
      </c>
      <c r="F797" s="6">
        <f t="shared" si="29"/>
        <v>0</v>
      </c>
    </row>
    <row r="798" spans="1:6" x14ac:dyDescent="0.3">
      <c r="A798" s="4"/>
      <c r="B798" s="1"/>
      <c r="C798" s="2"/>
      <c r="D798" s="2"/>
      <c r="E798" s="5">
        <f t="shared" si="28"/>
        <v>0</v>
      </c>
      <c r="F798" s="6">
        <f t="shared" si="29"/>
        <v>0</v>
      </c>
    </row>
    <row r="799" spans="1:6" x14ac:dyDescent="0.3">
      <c r="A799" s="4"/>
      <c r="B799" s="1"/>
      <c r="C799" s="2"/>
      <c r="D799" s="2"/>
      <c r="E799" s="5">
        <f t="shared" si="28"/>
        <v>0</v>
      </c>
      <c r="F799" s="6">
        <f t="shared" si="29"/>
        <v>0</v>
      </c>
    </row>
    <row r="800" spans="1:6" x14ac:dyDescent="0.3">
      <c r="A800" s="4"/>
      <c r="B800" s="1"/>
      <c r="C800" s="2"/>
      <c r="D800" s="2"/>
      <c r="E800" s="5">
        <f t="shared" si="28"/>
        <v>0</v>
      </c>
      <c r="F800" s="6">
        <f t="shared" si="29"/>
        <v>0</v>
      </c>
    </row>
    <row r="801" spans="1:6" x14ac:dyDescent="0.3">
      <c r="A801" s="4"/>
      <c r="B801" s="1"/>
      <c r="C801" s="2"/>
      <c r="D801" s="2"/>
      <c r="E801" s="5">
        <f t="shared" si="28"/>
        <v>0</v>
      </c>
      <c r="F801" s="6">
        <f t="shared" si="29"/>
        <v>0</v>
      </c>
    </row>
    <row r="802" spans="1:6" x14ac:dyDescent="0.3">
      <c r="A802" s="4"/>
      <c r="B802" s="1"/>
      <c r="C802" s="2"/>
      <c r="D802" s="2"/>
      <c r="E802" s="5">
        <f t="shared" si="28"/>
        <v>0</v>
      </c>
      <c r="F802" s="6">
        <f t="shared" si="29"/>
        <v>0</v>
      </c>
    </row>
    <row r="803" spans="1:6" x14ac:dyDescent="0.3">
      <c r="A803" s="4"/>
      <c r="B803" s="1"/>
      <c r="C803" s="2"/>
      <c r="D803" s="2"/>
      <c r="E803" s="5">
        <f t="shared" si="28"/>
        <v>0</v>
      </c>
      <c r="F803" s="6">
        <f t="shared" si="29"/>
        <v>0</v>
      </c>
    </row>
    <row r="804" spans="1:6" x14ac:dyDescent="0.3">
      <c r="A804" s="4"/>
      <c r="B804" s="1"/>
      <c r="C804" s="2"/>
      <c r="D804" s="2"/>
      <c r="E804" s="5">
        <f t="shared" si="28"/>
        <v>0</v>
      </c>
      <c r="F804" s="6">
        <f t="shared" si="29"/>
        <v>0</v>
      </c>
    </row>
    <row r="805" spans="1:6" x14ac:dyDescent="0.3">
      <c r="A805" s="4"/>
      <c r="B805" s="1"/>
      <c r="C805" s="2"/>
      <c r="D805" s="2"/>
      <c r="E805" s="5">
        <f t="shared" si="28"/>
        <v>0</v>
      </c>
      <c r="F805" s="6">
        <f t="shared" si="29"/>
        <v>0</v>
      </c>
    </row>
    <row r="806" spans="1:6" x14ac:dyDescent="0.3">
      <c r="A806" s="4"/>
      <c r="B806" s="1"/>
      <c r="C806" s="2"/>
      <c r="D806" s="2"/>
      <c r="E806" s="5">
        <f t="shared" si="28"/>
        <v>0</v>
      </c>
      <c r="F806" s="6">
        <f t="shared" si="29"/>
        <v>0</v>
      </c>
    </row>
    <row r="807" spans="1:6" x14ac:dyDescent="0.3">
      <c r="A807" s="4"/>
      <c r="B807" s="1"/>
      <c r="C807" s="2"/>
      <c r="D807" s="2"/>
      <c r="E807" s="5">
        <f t="shared" si="28"/>
        <v>0</v>
      </c>
      <c r="F807" s="6">
        <f t="shared" si="29"/>
        <v>0</v>
      </c>
    </row>
    <row r="808" spans="1:6" x14ac:dyDescent="0.3">
      <c r="A808" s="4"/>
      <c r="B808" s="1"/>
      <c r="C808" s="2"/>
      <c r="D808" s="2"/>
      <c r="E808" s="5">
        <f t="shared" si="28"/>
        <v>0</v>
      </c>
      <c r="F808" s="6">
        <f t="shared" si="29"/>
        <v>0</v>
      </c>
    </row>
    <row r="809" spans="1:6" x14ac:dyDescent="0.3">
      <c r="A809" s="4"/>
      <c r="B809" s="1"/>
      <c r="C809" s="2"/>
      <c r="D809" s="2"/>
      <c r="E809" s="5">
        <f t="shared" si="28"/>
        <v>0</v>
      </c>
      <c r="F809" s="6">
        <f t="shared" si="29"/>
        <v>0</v>
      </c>
    </row>
    <row r="810" spans="1:6" x14ac:dyDescent="0.3">
      <c r="A810" s="4"/>
      <c r="B810" s="1"/>
      <c r="C810" s="2"/>
      <c r="D810" s="2"/>
      <c r="E810" s="5">
        <f t="shared" si="28"/>
        <v>0</v>
      </c>
      <c r="F810" s="6">
        <f t="shared" si="29"/>
        <v>0</v>
      </c>
    </row>
    <row r="811" spans="1:6" x14ac:dyDescent="0.3">
      <c r="A811" s="4"/>
      <c r="B811" s="1"/>
      <c r="C811" s="2"/>
      <c r="D811" s="2"/>
      <c r="E811" s="5">
        <f t="shared" si="28"/>
        <v>0</v>
      </c>
      <c r="F811" s="6">
        <f t="shared" si="29"/>
        <v>0</v>
      </c>
    </row>
    <row r="812" spans="1:6" x14ac:dyDescent="0.3">
      <c r="A812" s="4"/>
      <c r="B812" s="1"/>
      <c r="C812" s="2"/>
      <c r="D812" s="2"/>
      <c r="E812" s="5">
        <f t="shared" si="28"/>
        <v>0</v>
      </c>
      <c r="F812" s="6">
        <f t="shared" si="29"/>
        <v>0</v>
      </c>
    </row>
    <row r="813" spans="1:6" x14ac:dyDescent="0.3">
      <c r="A813" s="4"/>
      <c r="B813" s="1"/>
      <c r="C813" s="2"/>
      <c r="D813" s="2"/>
      <c r="E813" s="5">
        <f t="shared" si="28"/>
        <v>0</v>
      </c>
      <c r="F813" s="6">
        <f t="shared" si="29"/>
        <v>0</v>
      </c>
    </row>
    <row r="814" spans="1:6" x14ac:dyDescent="0.3">
      <c r="A814" s="4"/>
      <c r="B814" s="1"/>
      <c r="C814" s="2"/>
      <c r="D814" s="2"/>
      <c r="E814" s="5">
        <f t="shared" si="28"/>
        <v>0</v>
      </c>
      <c r="F814" s="6">
        <f t="shared" si="29"/>
        <v>0</v>
      </c>
    </row>
    <row r="815" spans="1:6" x14ac:dyDescent="0.3">
      <c r="A815" s="4"/>
      <c r="B815" s="1"/>
      <c r="C815" s="2"/>
      <c r="D815" s="2"/>
      <c r="E815" s="5">
        <f t="shared" si="28"/>
        <v>0</v>
      </c>
      <c r="F815" s="6">
        <f t="shared" si="29"/>
        <v>0</v>
      </c>
    </row>
    <row r="816" spans="1:6" x14ac:dyDescent="0.3">
      <c r="A816" s="4"/>
      <c r="B816" s="1"/>
      <c r="C816" s="2"/>
      <c r="D816" s="2"/>
      <c r="E816" s="5">
        <f t="shared" si="28"/>
        <v>0</v>
      </c>
      <c r="F816" s="6">
        <f t="shared" si="29"/>
        <v>0</v>
      </c>
    </row>
    <row r="817" spans="1:6" x14ac:dyDescent="0.3">
      <c r="A817" s="4"/>
      <c r="B817" s="1"/>
      <c r="C817" s="2"/>
      <c r="D817" s="2"/>
      <c r="E817" s="5">
        <f t="shared" si="28"/>
        <v>0</v>
      </c>
      <c r="F817" s="6">
        <f t="shared" si="29"/>
        <v>0</v>
      </c>
    </row>
    <row r="818" spans="1:6" x14ac:dyDescent="0.3">
      <c r="A818" s="4"/>
      <c r="B818" s="1"/>
      <c r="C818" s="2"/>
      <c r="D818" s="2"/>
      <c r="E818" s="5">
        <f t="shared" si="28"/>
        <v>0</v>
      </c>
      <c r="F818" s="6">
        <f t="shared" si="29"/>
        <v>0</v>
      </c>
    </row>
    <row r="819" spans="1:6" x14ac:dyDescent="0.3">
      <c r="A819" s="4"/>
      <c r="B819" s="1"/>
      <c r="C819" s="2"/>
      <c r="D819" s="2"/>
      <c r="E819" s="5">
        <f t="shared" si="28"/>
        <v>0</v>
      </c>
      <c r="F819" s="6">
        <f t="shared" si="29"/>
        <v>0</v>
      </c>
    </row>
    <row r="820" spans="1:6" x14ac:dyDescent="0.3">
      <c r="A820" s="4"/>
      <c r="B820" s="1"/>
      <c r="C820" s="2"/>
      <c r="D820" s="2"/>
      <c r="E820" s="5">
        <f t="shared" si="28"/>
        <v>0</v>
      </c>
      <c r="F820" s="6">
        <f t="shared" si="29"/>
        <v>0</v>
      </c>
    </row>
    <row r="821" spans="1:6" x14ac:dyDescent="0.3">
      <c r="A821" s="4"/>
      <c r="B821" s="1"/>
      <c r="C821" s="2"/>
      <c r="D821" s="2"/>
      <c r="E821" s="5">
        <f t="shared" si="28"/>
        <v>0</v>
      </c>
      <c r="F821" s="6">
        <f t="shared" si="29"/>
        <v>0</v>
      </c>
    </row>
    <row r="822" spans="1:6" x14ac:dyDescent="0.3">
      <c r="A822" s="4"/>
      <c r="B822" s="1"/>
      <c r="C822" s="2"/>
      <c r="D822" s="2"/>
      <c r="E822" s="5">
        <f t="shared" si="28"/>
        <v>0</v>
      </c>
      <c r="F822" s="6">
        <f t="shared" si="29"/>
        <v>0</v>
      </c>
    </row>
    <row r="823" spans="1:6" x14ac:dyDescent="0.3">
      <c r="A823" s="4"/>
      <c r="B823" s="1"/>
      <c r="C823" s="2"/>
      <c r="D823" s="2"/>
      <c r="E823" s="5">
        <f t="shared" si="28"/>
        <v>0</v>
      </c>
      <c r="F823" s="6">
        <f t="shared" si="29"/>
        <v>0</v>
      </c>
    </row>
    <row r="824" spans="1:6" x14ac:dyDescent="0.3">
      <c r="A824" s="4"/>
      <c r="B824" s="1"/>
      <c r="C824" s="2"/>
      <c r="D824" s="2"/>
      <c r="E824" s="5">
        <f t="shared" si="28"/>
        <v>0</v>
      </c>
      <c r="F824" s="6">
        <f t="shared" si="29"/>
        <v>0</v>
      </c>
    </row>
    <row r="825" spans="1:6" x14ac:dyDescent="0.3">
      <c r="A825" s="4"/>
      <c r="B825" s="1"/>
      <c r="C825" s="2"/>
      <c r="D825" s="2"/>
      <c r="E825" s="5">
        <f t="shared" si="28"/>
        <v>0</v>
      </c>
      <c r="F825" s="6">
        <f t="shared" si="29"/>
        <v>0</v>
      </c>
    </row>
    <row r="826" spans="1:6" x14ac:dyDescent="0.3">
      <c r="A826" s="4"/>
      <c r="B826" s="1"/>
      <c r="C826" s="2"/>
      <c r="D826" s="2"/>
      <c r="E826" s="5">
        <f t="shared" si="28"/>
        <v>0</v>
      </c>
      <c r="F826" s="6">
        <f t="shared" si="29"/>
        <v>0</v>
      </c>
    </row>
    <row r="827" spans="1:6" x14ac:dyDescent="0.3">
      <c r="A827" s="4"/>
      <c r="B827" s="1"/>
      <c r="C827" s="2"/>
      <c r="D827" s="2"/>
      <c r="E827" s="5">
        <f t="shared" si="28"/>
        <v>0</v>
      </c>
      <c r="F827" s="6">
        <f t="shared" si="29"/>
        <v>0</v>
      </c>
    </row>
    <row r="828" spans="1:6" x14ac:dyDescent="0.3">
      <c r="A828" s="4"/>
      <c r="B828" s="1"/>
      <c r="C828" s="2"/>
      <c r="D828" s="2"/>
      <c r="E828" s="5">
        <f t="shared" si="28"/>
        <v>0</v>
      </c>
      <c r="F828" s="6">
        <f t="shared" si="29"/>
        <v>0</v>
      </c>
    </row>
    <row r="829" spans="1:6" x14ac:dyDescent="0.3">
      <c r="A829" s="4"/>
      <c r="B829" s="1"/>
      <c r="C829" s="2"/>
      <c r="D829" s="2"/>
      <c r="E829" s="5">
        <f t="shared" si="28"/>
        <v>0</v>
      </c>
      <c r="F829" s="6">
        <f t="shared" si="29"/>
        <v>0</v>
      </c>
    </row>
    <row r="830" spans="1:6" x14ac:dyDescent="0.3">
      <c r="A830" s="4"/>
      <c r="B830" s="1"/>
      <c r="C830" s="2"/>
      <c r="D830" s="2"/>
      <c r="E830" s="5">
        <f t="shared" si="28"/>
        <v>0</v>
      </c>
      <c r="F830" s="6">
        <f t="shared" si="29"/>
        <v>0</v>
      </c>
    </row>
    <row r="831" spans="1:6" x14ac:dyDescent="0.3">
      <c r="A831" s="4"/>
      <c r="B831" s="1"/>
      <c r="C831" s="2"/>
      <c r="D831" s="2"/>
      <c r="E831" s="5">
        <f t="shared" si="28"/>
        <v>0</v>
      </c>
      <c r="F831" s="6">
        <f t="shared" si="29"/>
        <v>0</v>
      </c>
    </row>
    <row r="832" spans="1:6" x14ac:dyDescent="0.3">
      <c r="A832" s="4"/>
      <c r="B832" s="1"/>
      <c r="C832" s="2"/>
      <c r="D832" s="2"/>
      <c r="E832" s="5">
        <f t="shared" si="28"/>
        <v>0</v>
      </c>
      <c r="F832" s="6">
        <f t="shared" si="29"/>
        <v>0</v>
      </c>
    </row>
    <row r="833" spans="1:6" x14ac:dyDescent="0.3">
      <c r="A833" s="4"/>
      <c r="B833" s="1"/>
      <c r="C833" s="2"/>
      <c r="D833" s="2"/>
      <c r="E833" s="5">
        <f t="shared" si="28"/>
        <v>0</v>
      </c>
      <c r="F833" s="6">
        <f t="shared" si="29"/>
        <v>0</v>
      </c>
    </row>
    <row r="834" spans="1:6" x14ac:dyDescent="0.3">
      <c r="A834" s="4"/>
      <c r="B834" s="1"/>
      <c r="C834" s="2"/>
      <c r="D834" s="2"/>
      <c r="E834" s="5">
        <f t="shared" si="28"/>
        <v>0</v>
      </c>
      <c r="F834" s="6">
        <f t="shared" si="29"/>
        <v>0</v>
      </c>
    </row>
    <row r="835" spans="1:6" x14ac:dyDescent="0.3">
      <c r="A835" s="4"/>
      <c r="B835" s="1"/>
      <c r="C835" s="2"/>
      <c r="D835" s="2"/>
      <c r="E835" s="5">
        <f t="shared" ref="E835:E898" si="30">D835-C835</f>
        <v>0</v>
      </c>
      <c r="F835" s="6">
        <f t="shared" ref="F835:F898" si="31">ROUND(VALUE(E835)*4,2)</f>
        <v>0</v>
      </c>
    </row>
    <row r="836" spans="1:6" x14ac:dyDescent="0.3">
      <c r="A836" s="4"/>
      <c r="B836" s="1"/>
      <c r="C836" s="2"/>
      <c r="D836" s="2"/>
      <c r="E836" s="5">
        <f t="shared" si="30"/>
        <v>0</v>
      </c>
      <c r="F836" s="6">
        <f t="shared" si="31"/>
        <v>0</v>
      </c>
    </row>
    <row r="837" spans="1:6" x14ac:dyDescent="0.3">
      <c r="A837" s="4"/>
      <c r="B837" s="1"/>
      <c r="C837" s="2"/>
      <c r="D837" s="2"/>
      <c r="E837" s="5">
        <f t="shared" si="30"/>
        <v>0</v>
      </c>
      <c r="F837" s="6">
        <f t="shared" si="31"/>
        <v>0</v>
      </c>
    </row>
    <row r="838" spans="1:6" x14ac:dyDescent="0.3">
      <c r="A838" s="4"/>
      <c r="B838" s="1"/>
      <c r="C838" s="2"/>
      <c r="D838" s="2"/>
      <c r="E838" s="5">
        <f t="shared" si="30"/>
        <v>0</v>
      </c>
      <c r="F838" s="6">
        <f t="shared" si="31"/>
        <v>0</v>
      </c>
    </row>
    <row r="839" spans="1:6" x14ac:dyDescent="0.3">
      <c r="A839" s="4"/>
      <c r="B839" s="1"/>
      <c r="C839" s="2"/>
      <c r="D839" s="2"/>
      <c r="E839" s="5">
        <f t="shared" si="30"/>
        <v>0</v>
      </c>
      <c r="F839" s="6">
        <f t="shared" si="31"/>
        <v>0</v>
      </c>
    </row>
    <row r="840" spans="1:6" x14ac:dyDescent="0.3">
      <c r="A840" s="4"/>
      <c r="B840" s="1"/>
      <c r="C840" s="2"/>
      <c r="D840" s="2"/>
      <c r="E840" s="5">
        <f t="shared" si="30"/>
        <v>0</v>
      </c>
      <c r="F840" s="6">
        <f t="shared" si="31"/>
        <v>0</v>
      </c>
    </row>
    <row r="841" spans="1:6" x14ac:dyDescent="0.3">
      <c r="A841" s="4"/>
      <c r="B841" s="1"/>
      <c r="C841" s="2"/>
      <c r="D841" s="2"/>
      <c r="E841" s="5">
        <f t="shared" si="30"/>
        <v>0</v>
      </c>
      <c r="F841" s="6">
        <f t="shared" si="31"/>
        <v>0</v>
      </c>
    </row>
    <row r="842" spans="1:6" x14ac:dyDescent="0.3">
      <c r="A842" s="4"/>
      <c r="B842" s="1"/>
      <c r="C842" s="2"/>
      <c r="D842" s="2"/>
      <c r="E842" s="5">
        <f t="shared" si="30"/>
        <v>0</v>
      </c>
      <c r="F842" s="6">
        <f t="shared" si="31"/>
        <v>0</v>
      </c>
    </row>
    <row r="843" spans="1:6" x14ac:dyDescent="0.3">
      <c r="A843" s="4"/>
      <c r="B843" s="1"/>
      <c r="C843" s="2"/>
      <c r="D843" s="2"/>
      <c r="E843" s="5">
        <f t="shared" si="30"/>
        <v>0</v>
      </c>
      <c r="F843" s="6">
        <f t="shared" si="31"/>
        <v>0</v>
      </c>
    </row>
    <row r="844" spans="1:6" x14ac:dyDescent="0.3">
      <c r="A844" s="4"/>
      <c r="B844" s="1"/>
      <c r="C844" s="2"/>
      <c r="D844" s="2"/>
      <c r="E844" s="5">
        <f t="shared" si="30"/>
        <v>0</v>
      </c>
      <c r="F844" s="6">
        <f t="shared" si="31"/>
        <v>0</v>
      </c>
    </row>
    <row r="845" spans="1:6" x14ac:dyDescent="0.3">
      <c r="A845" s="4"/>
      <c r="B845" s="1"/>
      <c r="C845" s="2"/>
      <c r="D845" s="2"/>
      <c r="E845" s="5">
        <f t="shared" si="30"/>
        <v>0</v>
      </c>
      <c r="F845" s="6">
        <f t="shared" si="31"/>
        <v>0</v>
      </c>
    </row>
    <row r="846" spans="1:6" x14ac:dyDescent="0.3">
      <c r="A846" s="4"/>
      <c r="B846" s="1"/>
      <c r="C846" s="2"/>
      <c r="D846" s="2"/>
      <c r="E846" s="5">
        <f t="shared" si="30"/>
        <v>0</v>
      </c>
      <c r="F846" s="6">
        <f t="shared" si="31"/>
        <v>0</v>
      </c>
    </row>
    <row r="847" spans="1:6" x14ac:dyDescent="0.3">
      <c r="A847" s="4"/>
      <c r="B847" s="1"/>
      <c r="C847" s="2"/>
      <c r="D847" s="2"/>
      <c r="E847" s="5">
        <f t="shared" si="30"/>
        <v>0</v>
      </c>
      <c r="F847" s="6">
        <f t="shared" si="31"/>
        <v>0</v>
      </c>
    </row>
    <row r="848" spans="1:6" x14ac:dyDescent="0.3">
      <c r="A848" s="4"/>
      <c r="B848" s="1"/>
      <c r="C848" s="2"/>
      <c r="D848" s="2"/>
      <c r="E848" s="5">
        <f t="shared" si="30"/>
        <v>0</v>
      </c>
      <c r="F848" s="6">
        <f t="shared" si="31"/>
        <v>0</v>
      </c>
    </row>
    <row r="849" spans="1:6" x14ac:dyDescent="0.3">
      <c r="A849" s="4"/>
      <c r="B849" s="1"/>
      <c r="C849" s="2"/>
      <c r="D849" s="2"/>
      <c r="E849" s="5">
        <f t="shared" si="30"/>
        <v>0</v>
      </c>
      <c r="F849" s="6">
        <f t="shared" si="31"/>
        <v>0</v>
      </c>
    </row>
    <row r="850" spans="1:6" x14ac:dyDescent="0.3">
      <c r="A850" s="4"/>
      <c r="B850" s="1"/>
      <c r="C850" s="2"/>
      <c r="D850" s="2"/>
      <c r="E850" s="5">
        <f t="shared" si="30"/>
        <v>0</v>
      </c>
      <c r="F850" s="6">
        <f t="shared" si="31"/>
        <v>0</v>
      </c>
    </row>
    <row r="851" spans="1:6" x14ac:dyDescent="0.3">
      <c r="A851" s="4"/>
      <c r="B851" s="1"/>
      <c r="C851" s="2"/>
      <c r="D851" s="2"/>
      <c r="E851" s="5">
        <f t="shared" si="30"/>
        <v>0</v>
      </c>
      <c r="F851" s="6">
        <f t="shared" si="31"/>
        <v>0</v>
      </c>
    </row>
    <row r="852" spans="1:6" x14ac:dyDescent="0.3">
      <c r="A852" s="4"/>
      <c r="B852" s="1"/>
      <c r="C852" s="2"/>
      <c r="D852" s="2"/>
      <c r="E852" s="5">
        <f t="shared" si="30"/>
        <v>0</v>
      </c>
      <c r="F852" s="6">
        <f t="shared" si="31"/>
        <v>0</v>
      </c>
    </row>
    <row r="853" spans="1:6" x14ac:dyDescent="0.3">
      <c r="A853" s="4"/>
      <c r="B853" s="1"/>
      <c r="C853" s="2"/>
      <c r="D853" s="2"/>
      <c r="E853" s="5">
        <f t="shared" si="30"/>
        <v>0</v>
      </c>
      <c r="F853" s="6">
        <f t="shared" si="31"/>
        <v>0</v>
      </c>
    </row>
    <row r="854" spans="1:6" x14ac:dyDescent="0.3">
      <c r="A854" s="4"/>
      <c r="B854" s="1"/>
      <c r="C854" s="2"/>
      <c r="D854" s="2"/>
      <c r="E854" s="5">
        <f t="shared" si="30"/>
        <v>0</v>
      </c>
      <c r="F854" s="6">
        <f t="shared" si="31"/>
        <v>0</v>
      </c>
    </row>
    <row r="855" spans="1:6" x14ac:dyDescent="0.3">
      <c r="A855" s="4"/>
      <c r="B855" s="1"/>
      <c r="C855" s="2"/>
      <c r="D855" s="2"/>
      <c r="E855" s="5">
        <f t="shared" si="30"/>
        <v>0</v>
      </c>
      <c r="F855" s="6">
        <f t="shared" si="31"/>
        <v>0</v>
      </c>
    </row>
    <row r="856" spans="1:6" x14ac:dyDescent="0.3">
      <c r="A856" s="4"/>
      <c r="B856" s="1"/>
      <c r="C856" s="2"/>
      <c r="D856" s="2"/>
      <c r="E856" s="5">
        <f t="shared" si="30"/>
        <v>0</v>
      </c>
      <c r="F856" s="6">
        <f t="shared" si="31"/>
        <v>0</v>
      </c>
    </row>
    <row r="857" spans="1:6" x14ac:dyDescent="0.3">
      <c r="A857" s="4"/>
      <c r="B857" s="1"/>
      <c r="C857" s="2"/>
      <c r="D857" s="2"/>
      <c r="E857" s="5">
        <f t="shared" si="30"/>
        <v>0</v>
      </c>
      <c r="F857" s="6">
        <f t="shared" si="31"/>
        <v>0</v>
      </c>
    </row>
    <row r="858" spans="1:6" x14ac:dyDescent="0.3">
      <c r="A858" s="4"/>
      <c r="B858" s="1"/>
      <c r="C858" s="2"/>
      <c r="D858" s="2"/>
      <c r="E858" s="5">
        <f t="shared" si="30"/>
        <v>0</v>
      </c>
      <c r="F858" s="6">
        <f t="shared" si="31"/>
        <v>0</v>
      </c>
    </row>
    <row r="859" spans="1:6" x14ac:dyDescent="0.3">
      <c r="A859" s="4"/>
      <c r="B859" s="1"/>
      <c r="C859" s="2"/>
      <c r="D859" s="2"/>
      <c r="E859" s="5">
        <f t="shared" si="30"/>
        <v>0</v>
      </c>
      <c r="F859" s="6">
        <f t="shared" si="31"/>
        <v>0</v>
      </c>
    </row>
    <row r="860" spans="1:6" x14ac:dyDescent="0.3">
      <c r="A860" s="4"/>
      <c r="B860" s="1"/>
      <c r="C860" s="2"/>
      <c r="D860" s="2"/>
      <c r="E860" s="5">
        <f t="shared" si="30"/>
        <v>0</v>
      </c>
      <c r="F860" s="6">
        <f t="shared" si="31"/>
        <v>0</v>
      </c>
    </row>
    <row r="861" spans="1:6" x14ac:dyDescent="0.3">
      <c r="A861" s="4"/>
      <c r="B861" s="1"/>
      <c r="C861" s="2"/>
      <c r="D861" s="2"/>
      <c r="E861" s="5">
        <f t="shared" si="30"/>
        <v>0</v>
      </c>
      <c r="F861" s="6">
        <f t="shared" si="31"/>
        <v>0</v>
      </c>
    </row>
    <row r="862" spans="1:6" x14ac:dyDescent="0.3">
      <c r="A862" s="4"/>
      <c r="B862" s="1"/>
      <c r="C862" s="2"/>
      <c r="D862" s="2"/>
      <c r="E862" s="5">
        <f t="shared" si="30"/>
        <v>0</v>
      </c>
      <c r="F862" s="6">
        <f t="shared" si="31"/>
        <v>0</v>
      </c>
    </row>
    <row r="863" spans="1:6" x14ac:dyDescent="0.3">
      <c r="A863" s="4"/>
      <c r="B863" s="1"/>
      <c r="C863" s="2"/>
      <c r="D863" s="2"/>
      <c r="E863" s="5">
        <f t="shared" si="30"/>
        <v>0</v>
      </c>
      <c r="F863" s="6">
        <f t="shared" si="31"/>
        <v>0</v>
      </c>
    </row>
    <row r="864" spans="1:6" x14ac:dyDescent="0.3">
      <c r="A864" s="4"/>
      <c r="B864" s="1"/>
      <c r="C864" s="2"/>
      <c r="D864" s="2"/>
      <c r="E864" s="5">
        <f t="shared" si="30"/>
        <v>0</v>
      </c>
      <c r="F864" s="6">
        <f t="shared" si="31"/>
        <v>0</v>
      </c>
    </row>
    <row r="865" spans="1:6" x14ac:dyDescent="0.3">
      <c r="A865" s="4"/>
      <c r="B865" s="1"/>
      <c r="C865" s="2"/>
      <c r="D865" s="2"/>
      <c r="E865" s="5">
        <f t="shared" si="30"/>
        <v>0</v>
      </c>
      <c r="F865" s="6">
        <f t="shared" si="31"/>
        <v>0</v>
      </c>
    </row>
    <row r="866" spans="1:6" x14ac:dyDescent="0.3">
      <c r="A866" s="4"/>
      <c r="B866" s="1"/>
      <c r="C866" s="2"/>
      <c r="D866" s="2"/>
      <c r="E866" s="5">
        <f t="shared" si="30"/>
        <v>0</v>
      </c>
      <c r="F866" s="6">
        <f t="shared" si="31"/>
        <v>0</v>
      </c>
    </row>
    <row r="867" spans="1:6" x14ac:dyDescent="0.3">
      <c r="A867" s="4"/>
      <c r="B867" s="1"/>
      <c r="C867" s="2"/>
      <c r="D867" s="2"/>
      <c r="E867" s="5">
        <f t="shared" si="30"/>
        <v>0</v>
      </c>
      <c r="F867" s="6">
        <f t="shared" si="31"/>
        <v>0</v>
      </c>
    </row>
    <row r="868" spans="1:6" x14ac:dyDescent="0.3">
      <c r="A868" s="4"/>
      <c r="B868" s="1"/>
      <c r="C868" s="2"/>
      <c r="D868" s="2"/>
      <c r="E868" s="5">
        <f t="shared" si="30"/>
        <v>0</v>
      </c>
      <c r="F868" s="6">
        <f t="shared" si="31"/>
        <v>0</v>
      </c>
    </row>
    <row r="869" spans="1:6" x14ac:dyDescent="0.3">
      <c r="A869" s="4"/>
      <c r="B869" s="1"/>
      <c r="C869" s="2"/>
      <c r="D869" s="2"/>
      <c r="E869" s="5">
        <f t="shared" si="30"/>
        <v>0</v>
      </c>
      <c r="F869" s="6">
        <f t="shared" si="31"/>
        <v>0</v>
      </c>
    </row>
    <row r="870" spans="1:6" x14ac:dyDescent="0.3">
      <c r="A870" s="4"/>
      <c r="B870" s="1"/>
      <c r="C870" s="2"/>
      <c r="D870" s="2"/>
      <c r="E870" s="5">
        <f t="shared" si="30"/>
        <v>0</v>
      </c>
      <c r="F870" s="6">
        <f t="shared" si="31"/>
        <v>0</v>
      </c>
    </row>
    <row r="871" spans="1:6" x14ac:dyDescent="0.3">
      <c r="A871" s="4"/>
      <c r="B871" s="1"/>
      <c r="C871" s="2"/>
      <c r="D871" s="2"/>
      <c r="E871" s="5">
        <f t="shared" si="30"/>
        <v>0</v>
      </c>
      <c r="F871" s="6">
        <f t="shared" si="31"/>
        <v>0</v>
      </c>
    </row>
    <row r="872" spans="1:6" x14ac:dyDescent="0.3">
      <c r="A872" s="4"/>
      <c r="B872" s="1"/>
      <c r="C872" s="2"/>
      <c r="D872" s="2"/>
      <c r="E872" s="5">
        <f t="shared" si="30"/>
        <v>0</v>
      </c>
      <c r="F872" s="6">
        <f t="shared" si="31"/>
        <v>0</v>
      </c>
    </row>
    <row r="873" spans="1:6" x14ac:dyDescent="0.3">
      <c r="A873" s="4"/>
      <c r="B873" s="1"/>
      <c r="C873" s="2"/>
      <c r="D873" s="2"/>
      <c r="E873" s="5">
        <f t="shared" si="30"/>
        <v>0</v>
      </c>
      <c r="F873" s="6">
        <f t="shared" si="31"/>
        <v>0</v>
      </c>
    </row>
    <row r="874" spans="1:6" x14ac:dyDescent="0.3">
      <c r="A874" s="4"/>
      <c r="B874" s="1"/>
      <c r="C874" s="2"/>
      <c r="D874" s="2"/>
      <c r="E874" s="5">
        <f t="shared" si="30"/>
        <v>0</v>
      </c>
      <c r="F874" s="6">
        <f t="shared" si="31"/>
        <v>0</v>
      </c>
    </row>
    <row r="875" spans="1:6" x14ac:dyDescent="0.3">
      <c r="A875" s="4"/>
      <c r="B875" s="1"/>
      <c r="C875" s="2"/>
      <c r="D875" s="2"/>
      <c r="E875" s="5">
        <f t="shared" si="30"/>
        <v>0</v>
      </c>
      <c r="F875" s="6">
        <f t="shared" si="31"/>
        <v>0</v>
      </c>
    </row>
    <row r="876" spans="1:6" x14ac:dyDescent="0.3">
      <c r="A876" s="4"/>
      <c r="B876" s="1"/>
      <c r="C876" s="2"/>
      <c r="D876" s="2"/>
      <c r="E876" s="5">
        <f t="shared" si="30"/>
        <v>0</v>
      </c>
      <c r="F876" s="6">
        <f t="shared" si="31"/>
        <v>0</v>
      </c>
    </row>
    <row r="877" spans="1:6" x14ac:dyDescent="0.3">
      <c r="A877" s="4"/>
      <c r="B877" s="1"/>
      <c r="C877" s="2"/>
      <c r="D877" s="2"/>
      <c r="E877" s="5">
        <f t="shared" si="30"/>
        <v>0</v>
      </c>
      <c r="F877" s="6">
        <f t="shared" si="31"/>
        <v>0</v>
      </c>
    </row>
    <row r="878" spans="1:6" x14ac:dyDescent="0.3">
      <c r="A878" s="4"/>
      <c r="B878" s="1"/>
      <c r="C878" s="2"/>
      <c r="D878" s="2"/>
      <c r="E878" s="5">
        <f t="shared" si="30"/>
        <v>0</v>
      </c>
      <c r="F878" s="6">
        <f t="shared" si="31"/>
        <v>0</v>
      </c>
    </row>
    <row r="879" spans="1:6" x14ac:dyDescent="0.3">
      <c r="A879" s="4"/>
      <c r="B879" s="1"/>
      <c r="C879" s="2"/>
      <c r="D879" s="2"/>
      <c r="E879" s="5">
        <f t="shared" si="30"/>
        <v>0</v>
      </c>
      <c r="F879" s="6">
        <f t="shared" si="31"/>
        <v>0</v>
      </c>
    </row>
    <row r="880" spans="1:6" x14ac:dyDescent="0.3">
      <c r="A880" s="4"/>
      <c r="B880" s="1"/>
      <c r="C880" s="2"/>
      <c r="D880" s="2"/>
      <c r="E880" s="5">
        <f t="shared" si="30"/>
        <v>0</v>
      </c>
      <c r="F880" s="6">
        <f t="shared" si="31"/>
        <v>0</v>
      </c>
    </row>
    <row r="881" spans="1:6" x14ac:dyDescent="0.3">
      <c r="A881" s="4"/>
      <c r="B881" s="1"/>
      <c r="C881" s="2"/>
      <c r="D881" s="2"/>
      <c r="E881" s="5">
        <f t="shared" si="30"/>
        <v>0</v>
      </c>
      <c r="F881" s="6">
        <f t="shared" si="31"/>
        <v>0</v>
      </c>
    </row>
    <row r="882" spans="1:6" x14ac:dyDescent="0.3">
      <c r="A882" s="4"/>
      <c r="B882" s="1"/>
      <c r="C882" s="2"/>
      <c r="D882" s="2"/>
      <c r="E882" s="5">
        <f t="shared" si="30"/>
        <v>0</v>
      </c>
      <c r="F882" s="6">
        <f t="shared" si="31"/>
        <v>0</v>
      </c>
    </row>
    <row r="883" spans="1:6" x14ac:dyDescent="0.3">
      <c r="A883" s="4"/>
      <c r="B883" s="1"/>
      <c r="C883" s="2"/>
      <c r="D883" s="2"/>
      <c r="E883" s="5">
        <f t="shared" si="30"/>
        <v>0</v>
      </c>
      <c r="F883" s="6">
        <f t="shared" si="31"/>
        <v>0</v>
      </c>
    </row>
    <row r="884" spans="1:6" x14ac:dyDescent="0.3">
      <c r="A884" s="4"/>
      <c r="B884" s="1"/>
      <c r="C884" s="2"/>
      <c r="D884" s="2"/>
      <c r="E884" s="5">
        <f t="shared" si="30"/>
        <v>0</v>
      </c>
      <c r="F884" s="6">
        <f t="shared" si="31"/>
        <v>0</v>
      </c>
    </row>
    <row r="885" spans="1:6" x14ac:dyDescent="0.3">
      <c r="A885" s="4"/>
      <c r="B885" s="1"/>
      <c r="C885" s="2"/>
      <c r="D885" s="2"/>
      <c r="E885" s="5">
        <f t="shared" si="30"/>
        <v>0</v>
      </c>
      <c r="F885" s="6">
        <f t="shared" si="31"/>
        <v>0</v>
      </c>
    </row>
    <row r="886" spans="1:6" x14ac:dyDescent="0.3">
      <c r="A886" s="4"/>
      <c r="B886" s="1"/>
      <c r="C886" s="2"/>
      <c r="D886" s="2"/>
      <c r="E886" s="5">
        <f t="shared" si="30"/>
        <v>0</v>
      </c>
      <c r="F886" s="6">
        <f t="shared" si="31"/>
        <v>0</v>
      </c>
    </row>
    <row r="887" spans="1:6" x14ac:dyDescent="0.3">
      <c r="A887" s="4"/>
      <c r="B887" s="1"/>
      <c r="C887" s="2"/>
      <c r="D887" s="2"/>
      <c r="E887" s="5">
        <f t="shared" si="30"/>
        <v>0</v>
      </c>
      <c r="F887" s="6">
        <f t="shared" si="31"/>
        <v>0</v>
      </c>
    </row>
    <row r="888" spans="1:6" x14ac:dyDescent="0.3">
      <c r="A888" s="4"/>
      <c r="B888" s="1"/>
      <c r="C888" s="2"/>
      <c r="D888" s="2"/>
      <c r="E888" s="5">
        <f t="shared" si="30"/>
        <v>0</v>
      </c>
      <c r="F888" s="6">
        <f t="shared" si="31"/>
        <v>0</v>
      </c>
    </row>
    <row r="889" spans="1:6" x14ac:dyDescent="0.3">
      <c r="A889" s="4"/>
      <c r="B889" s="1"/>
      <c r="C889" s="2"/>
      <c r="D889" s="2"/>
      <c r="E889" s="5">
        <f t="shared" si="30"/>
        <v>0</v>
      </c>
      <c r="F889" s="6">
        <f t="shared" si="31"/>
        <v>0</v>
      </c>
    </row>
    <row r="890" spans="1:6" x14ac:dyDescent="0.3">
      <c r="A890" s="4"/>
      <c r="B890" s="1"/>
      <c r="C890" s="2"/>
      <c r="D890" s="2"/>
      <c r="E890" s="5">
        <f t="shared" si="30"/>
        <v>0</v>
      </c>
      <c r="F890" s="6">
        <f t="shared" si="31"/>
        <v>0</v>
      </c>
    </row>
    <row r="891" spans="1:6" x14ac:dyDescent="0.3">
      <c r="A891" s="4"/>
      <c r="B891" s="1"/>
      <c r="C891" s="2"/>
      <c r="D891" s="2"/>
      <c r="E891" s="5">
        <f t="shared" si="30"/>
        <v>0</v>
      </c>
      <c r="F891" s="6">
        <f t="shared" si="31"/>
        <v>0</v>
      </c>
    </row>
    <row r="892" spans="1:6" x14ac:dyDescent="0.3">
      <c r="A892" s="4"/>
      <c r="B892" s="1"/>
      <c r="C892" s="2"/>
      <c r="D892" s="2"/>
      <c r="E892" s="5">
        <f t="shared" si="30"/>
        <v>0</v>
      </c>
      <c r="F892" s="6">
        <f t="shared" si="31"/>
        <v>0</v>
      </c>
    </row>
    <row r="893" spans="1:6" x14ac:dyDescent="0.3">
      <c r="A893" s="4"/>
      <c r="B893" s="1"/>
      <c r="C893" s="2"/>
      <c r="D893" s="2"/>
      <c r="E893" s="5">
        <f t="shared" si="30"/>
        <v>0</v>
      </c>
      <c r="F893" s="6">
        <f t="shared" si="31"/>
        <v>0</v>
      </c>
    </row>
    <row r="894" spans="1:6" x14ac:dyDescent="0.3">
      <c r="A894" s="4"/>
      <c r="B894" s="1"/>
      <c r="C894" s="2"/>
      <c r="D894" s="2"/>
      <c r="E894" s="5">
        <f t="shared" si="30"/>
        <v>0</v>
      </c>
      <c r="F894" s="6">
        <f t="shared" si="31"/>
        <v>0</v>
      </c>
    </row>
    <row r="895" spans="1:6" x14ac:dyDescent="0.3">
      <c r="A895" s="4"/>
      <c r="B895" s="1"/>
      <c r="C895" s="2"/>
      <c r="D895" s="2"/>
      <c r="E895" s="5">
        <f t="shared" si="30"/>
        <v>0</v>
      </c>
      <c r="F895" s="6">
        <f t="shared" si="31"/>
        <v>0</v>
      </c>
    </row>
    <row r="896" spans="1:6" x14ac:dyDescent="0.3">
      <c r="A896" s="4"/>
      <c r="B896" s="1"/>
      <c r="C896" s="2"/>
      <c r="D896" s="2"/>
      <c r="E896" s="5">
        <f t="shared" si="30"/>
        <v>0</v>
      </c>
      <c r="F896" s="6">
        <f t="shared" si="31"/>
        <v>0</v>
      </c>
    </row>
    <row r="897" spans="1:6" x14ac:dyDescent="0.3">
      <c r="A897" s="4"/>
      <c r="B897" s="1"/>
      <c r="C897" s="2"/>
      <c r="D897" s="2"/>
      <c r="E897" s="5">
        <f t="shared" si="30"/>
        <v>0</v>
      </c>
      <c r="F897" s="6">
        <f t="shared" si="31"/>
        <v>0</v>
      </c>
    </row>
    <row r="898" spans="1:6" x14ac:dyDescent="0.3">
      <c r="A898" s="4"/>
      <c r="B898" s="1"/>
      <c r="C898" s="2"/>
      <c r="D898" s="2"/>
      <c r="E898" s="5">
        <f t="shared" si="30"/>
        <v>0</v>
      </c>
      <c r="F898" s="6">
        <f t="shared" si="31"/>
        <v>0</v>
      </c>
    </row>
    <row r="899" spans="1:6" x14ac:dyDescent="0.3">
      <c r="A899" s="4"/>
      <c r="B899" s="1"/>
      <c r="C899" s="2"/>
      <c r="D899" s="2"/>
      <c r="E899" s="5">
        <f t="shared" ref="E899:E962" si="32">D899-C899</f>
        <v>0</v>
      </c>
      <c r="F899" s="6">
        <f t="shared" ref="F899:F962" si="33">ROUND(VALUE(E899)*4,2)</f>
        <v>0</v>
      </c>
    </row>
    <row r="900" spans="1:6" x14ac:dyDescent="0.3">
      <c r="A900" s="4"/>
      <c r="B900" s="1"/>
      <c r="C900" s="2"/>
      <c r="D900" s="2"/>
      <c r="E900" s="5">
        <f t="shared" si="32"/>
        <v>0</v>
      </c>
      <c r="F900" s="6">
        <f t="shared" si="33"/>
        <v>0</v>
      </c>
    </row>
    <row r="901" spans="1:6" x14ac:dyDescent="0.3">
      <c r="A901" s="4"/>
      <c r="B901" s="1"/>
      <c r="C901" s="2"/>
      <c r="D901" s="2"/>
      <c r="E901" s="5">
        <f t="shared" si="32"/>
        <v>0</v>
      </c>
      <c r="F901" s="6">
        <f t="shared" si="33"/>
        <v>0</v>
      </c>
    </row>
    <row r="902" spans="1:6" x14ac:dyDescent="0.3">
      <c r="A902" s="4"/>
      <c r="B902" s="1"/>
      <c r="C902" s="2"/>
      <c r="D902" s="2"/>
      <c r="E902" s="5">
        <f t="shared" si="32"/>
        <v>0</v>
      </c>
      <c r="F902" s="6">
        <f t="shared" si="33"/>
        <v>0</v>
      </c>
    </row>
    <row r="903" spans="1:6" x14ac:dyDescent="0.3">
      <c r="A903" s="4"/>
      <c r="B903" s="1"/>
      <c r="C903" s="2"/>
      <c r="D903" s="2"/>
      <c r="E903" s="5">
        <f t="shared" si="32"/>
        <v>0</v>
      </c>
      <c r="F903" s="6">
        <f t="shared" si="33"/>
        <v>0</v>
      </c>
    </row>
    <row r="904" spans="1:6" x14ac:dyDescent="0.3">
      <c r="A904" s="4"/>
      <c r="B904" s="1"/>
      <c r="C904" s="2"/>
      <c r="D904" s="2"/>
      <c r="E904" s="5">
        <f t="shared" si="32"/>
        <v>0</v>
      </c>
      <c r="F904" s="6">
        <f t="shared" si="33"/>
        <v>0</v>
      </c>
    </row>
    <row r="905" spans="1:6" x14ac:dyDescent="0.3">
      <c r="A905" s="4"/>
      <c r="B905" s="1"/>
      <c r="C905" s="2"/>
      <c r="D905" s="2"/>
      <c r="E905" s="5">
        <f t="shared" si="32"/>
        <v>0</v>
      </c>
      <c r="F905" s="6">
        <f t="shared" si="33"/>
        <v>0</v>
      </c>
    </row>
    <row r="906" spans="1:6" x14ac:dyDescent="0.3">
      <c r="A906" s="4"/>
      <c r="B906" s="1"/>
      <c r="C906" s="2"/>
      <c r="D906" s="2"/>
      <c r="E906" s="5">
        <f t="shared" si="32"/>
        <v>0</v>
      </c>
      <c r="F906" s="6">
        <f t="shared" si="33"/>
        <v>0</v>
      </c>
    </row>
    <row r="907" spans="1:6" x14ac:dyDescent="0.3">
      <c r="A907" s="4"/>
      <c r="B907" s="1"/>
      <c r="C907" s="2"/>
      <c r="D907" s="2"/>
      <c r="E907" s="5">
        <f t="shared" si="32"/>
        <v>0</v>
      </c>
      <c r="F907" s="6">
        <f t="shared" si="33"/>
        <v>0</v>
      </c>
    </row>
    <row r="908" spans="1:6" x14ac:dyDescent="0.3">
      <c r="A908" s="4"/>
      <c r="B908" s="1"/>
      <c r="C908" s="2"/>
      <c r="D908" s="2"/>
      <c r="E908" s="5">
        <f t="shared" si="32"/>
        <v>0</v>
      </c>
      <c r="F908" s="6">
        <f t="shared" si="33"/>
        <v>0</v>
      </c>
    </row>
    <row r="909" spans="1:6" x14ac:dyDescent="0.3">
      <c r="A909" s="4"/>
      <c r="B909" s="1"/>
      <c r="C909" s="2"/>
      <c r="D909" s="2"/>
      <c r="E909" s="5">
        <f t="shared" si="32"/>
        <v>0</v>
      </c>
      <c r="F909" s="6">
        <f t="shared" si="33"/>
        <v>0</v>
      </c>
    </row>
    <row r="910" spans="1:6" x14ac:dyDescent="0.3">
      <c r="A910" s="4"/>
      <c r="B910" s="1"/>
      <c r="C910" s="2"/>
      <c r="D910" s="2"/>
      <c r="E910" s="5">
        <f t="shared" si="32"/>
        <v>0</v>
      </c>
      <c r="F910" s="6">
        <f t="shared" si="33"/>
        <v>0</v>
      </c>
    </row>
    <row r="911" spans="1:6" x14ac:dyDescent="0.3">
      <c r="A911" s="4"/>
      <c r="B911" s="1"/>
      <c r="C911" s="2"/>
      <c r="D911" s="2"/>
      <c r="E911" s="5">
        <f t="shared" si="32"/>
        <v>0</v>
      </c>
      <c r="F911" s="6">
        <f t="shared" si="33"/>
        <v>0</v>
      </c>
    </row>
    <row r="912" spans="1:6" x14ac:dyDescent="0.3">
      <c r="A912" s="4"/>
      <c r="B912" s="1"/>
      <c r="C912" s="2"/>
      <c r="D912" s="2"/>
      <c r="E912" s="5">
        <f t="shared" si="32"/>
        <v>0</v>
      </c>
      <c r="F912" s="6">
        <f t="shared" si="33"/>
        <v>0</v>
      </c>
    </row>
    <row r="913" spans="1:6" x14ac:dyDescent="0.3">
      <c r="A913" s="4"/>
      <c r="B913" s="1"/>
      <c r="C913" s="2"/>
      <c r="D913" s="2"/>
      <c r="E913" s="5">
        <f t="shared" si="32"/>
        <v>0</v>
      </c>
      <c r="F913" s="6">
        <f t="shared" si="33"/>
        <v>0</v>
      </c>
    </row>
    <row r="914" spans="1:6" x14ac:dyDescent="0.3">
      <c r="A914" s="4"/>
      <c r="B914" s="1"/>
      <c r="C914" s="2"/>
      <c r="D914" s="2"/>
      <c r="E914" s="5">
        <f t="shared" si="32"/>
        <v>0</v>
      </c>
      <c r="F914" s="6">
        <f t="shared" si="33"/>
        <v>0</v>
      </c>
    </row>
    <row r="915" spans="1:6" x14ac:dyDescent="0.3">
      <c r="A915" s="4"/>
      <c r="B915" s="1"/>
      <c r="C915" s="2"/>
      <c r="D915" s="2"/>
      <c r="E915" s="5">
        <f t="shared" si="32"/>
        <v>0</v>
      </c>
      <c r="F915" s="6">
        <f t="shared" si="33"/>
        <v>0</v>
      </c>
    </row>
    <row r="916" spans="1:6" x14ac:dyDescent="0.3">
      <c r="A916" s="4"/>
      <c r="B916" s="1"/>
      <c r="C916" s="2"/>
      <c r="D916" s="2"/>
      <c r="E916" s="5">
        <f t="shared" si="32"/>
        <v>0</v>
      </c>
      <c r="F916" s="6">
        <f t="shared" si="33"/>
        <v>0</v>
      </c>
    </row>
    <row r="917" spans="1:6" x14ac:dyDescent="0.3">
      <c r="A917" s="4"/>
      <c r="B917" s="1"/>
      <c r="C917" s="2"/>
      <c r="D917" s="2"/>
      <c r="E917" s="5">
        <f t="shared" si="32"/>
        <v>0</v>
      </c>
      <c r="F917" s="6">
        <f t="shared" si="33"/>
        <v>0</v>
      </c>
    </row>
    <row r="918" spans="1:6" x14ac:dyDescent="0.3">
      <c r="A918" s="4"/>
      <c r="B918" s="1"/>
      <c r="C918" s="2"/>
      <c r="D918" s="2"/>
      <c r="E918" s="5">
        <f t="shared" si="32"/>
        <v>0</v>
      </c>
      <c r="F918" s="6">
        <f t="shared" si="33"/>
        <v>0</v>
      </c>
    </row>
    <row r="919" spans="1:6" x14ac:dyDescent="0.3">
      <c r="A919" s="4"/>
      <c r="B919" s="1"/>
      <c r="C919" s="2"/>
      <c r="D919" s="2"/>
      <c r="E919" s="5">
        <f t="shared" si="32"/>
        <v>0</v>
      </c>
      <c r="F919" s="6">
        <f t="shared" si="33"/>
        <v>0</v>
      </c>
    </row>
    <row r="920" spans="1:6" x14ac:dyDescent="0.3">
      <c r="A920" s="4"/>
      <c r="B920" s="1"/>
      <c r="C920" s="2"/>
      <c r="D920" s="2"/>
      <c r="E920" s="5">
        <f t="shared" si="32"/>
        <v>0</v>
      </c>
      <c r="F920" s="6">
        <f t="shared" si="33"/>
        <v>0</v>
      </c>
    </row>
    <row r="921" spans="1:6" x14ac:dyDescent="0.3">
      <c r="A921" s="4"/>
      <c r="B921" s="1"/>
      <c r="C921" s="2"/>
      <c r="D921" s="2"/>
      <c r="E921" s="5">
        <f t="shared" si="32"/>
        <v>0</v>
      </c>
      <c r="F921" s="6">
        <f t="shared" si="33"/>
        <v>0</v>
      </c>
    </row>
    <row r="922" spans="1:6" x14ac:dyDescent="0.3">
      <c r="A922" s="4"/>
      <c r="B922" s="1"/>
      <c r="C922" s="2"/>
      <c r="D922" s="2"/>
      <c r="E922" s="5">
        <f t="shared" si="32"/>
        <v>0</v>
      </c>
      <c r="F922" s="6">
        <f t="shared" si="33"/>
        <v>0</v>
      </c>
    </row>
    <row r="923" spans="1:6" x14ac:dyDescent="0.3">
      <c r="A923" s="4"/>
      <c r="B923" s="1"/>
      <c r="C923" s="2"/>
      <c r="D923" s="2"/>
      <c r="E923" s="5">
        <f t="shared" si="32"/>
        <v>0</v>
      </c>
      <c r="F923" s="6">
        <f t="shared" si="33"/>
        <v>0</v>
      </c>
    </row>
    <row r="924" spans="1:6" x14ac:dyDescent="0.3">
      <c r="A924" s="4"/>
      <c r="B924" s="1"/>
      <c r="C924" s="2"/>
      <c r="D924" s="2"/>
      <c r="E924" s="5">
        <f t="shared" si="32"/>
        <v>0</v>
      </c>
      <c r="F924" s="6">
        <f t="shared" si="33"/>
        <v>0</v>
      </c>
    </row>
    <row r="925" spans="1:6" x14ac:dyDescent="0.3">
      <c r="A925" s="4"/>
      <c r="B925" s="1"/>
      <c r="C925" s="2"/>
      <c r="D925" s="2"/>
      <c r="E925" s="5">
        <f t="shared" si="32"/>
        <v>0</v>
      </c>
      <c r="F925" s="6">
        <f t="shared" si="33"/>
        <v>0</v>
      </c>
    </row>
    <row r="926" spans="1:6" x14ac:dyDescent="0.3">
      <c r="A926" s="4"/>
      <c r="B926" s="1"/>
      <c r="C926" s="2"/>
      <c r="D926" s="2"/>
      <c r="E926" s="5">
        <f t="shared" si="32"/>
        <v>0</v>
      </c>
      <c r="F926" s="6">
        <f t="shared" si="33"/>
        <v>0</v>
      </c>
    </row>
    <row r="927" spans="1:6" x14ac:dyDescent="0.3">
      <c r="A927" s="4"/>
      <c r="B927" s="1"/>
      <c r="C927" s="2"/>
      <c r="D927" s="2"/>
      <c r="E927" s="5">
        <f t="shared" si="32"/>
        <v>0</v>
      </c>
      <c r="F927" s="6">
        <f t="shared" si="33"/>
        <v>0</v>
      </c>
    </row>
    <row r="928" spans="1:6" x14ac:dyDescent="0.3">
      <c r="A928" s="4"/>
      <c r="B928" s="1"/>
      <c r="C928" s="2"/>
      <c r="D928" s="2"/>
      <c r="E928" s="5">
        <f t="shared" si="32"/>
        <v>0</v>
      </c>
      <c r="F928" s="6">
        <f t="shared" si="33"/>
        <v>0</v>
      </c>
    </row>
    <row r="929" spans="1:6" x14ac:dyDescent="0.3">
      <c r="A929" s="4"/>
      <c r="B929" s="1"/>
      <c r="C929" s="2"/>
      <c r="D929" s="2"/>
      <c r="E929" s="5">
        <f t="shared" si="32"/>
        <v>0</v>
      </c>
      <c r="F929" s="6">
        <f t="shared" si="33"/>
        <v>0</v>
      </c>
    </row>
    <row r="930" spans="1:6" x14ac:dyDescent="0.3">
      <c r="A930" s="4"/>
      <c r="B930" s="1"/>
      <c r="C930" s="2"/>
      <c r="D930" s="2"/>
      <c r="E930" s="5">
        <f t="shared" si="32"/>
        <v>0</v>
      </c>
      <c r="F930" s="6">
        <f t="shared" si="33"/>
        <v>0</v>
      </c>
    </row>
    <row r="931" spans="1:6" x14ac:dyDescent="0.3">
      <c r="A931" s="4"/>
      <c r="B931" s="1"/>
      <c r="C931" s="2"/>
      <c r="D931" s="2"/>
      <c r="E931" s="5">
        <f t="shared" si="32"/>
        <v>0</v>
      </c>
      <c r="F931" s="6">
        <f t="shared" si="33"/>
        <v>0</v>
      </c>
    </row>
    <row r="932" spans="1:6" x14ac:dyDescent="0.3">
      <c r="A932" s="4"/>
      <c r="B932" s="1"/>
      <c r="C932" s="2"/>
      <c r="D932" s="2"/>
      <c r="E932" s="5">
        <f t="shared" si="32"/>
        <v>0</v>
      </c>
      <c r="F932" s="6">
        <f t="shared" si="33"/>
        <v>0</v>
      </c>
    </row>
    <row r="933" spans="1:6" x14ac:dyDescent="0.3">
      <c r="A933" s="4"/>
      <c r="B933" s="1"/>
      <c r="C933" s="2"/>
      <c r="D933" s="2"/>
      <c r="E933" s="5">
        <f t="shared" si="32"/>
        <v>0</v>
      </c>
      <c r="F933" s="6">
        <f t="shared" si="33"/>
        <v>0</v>
      </c>
    </row>
    <row r="934" spans="1:6" x14ac:dyDescent="0.3">
      <c r="A934" s="4"/>
      <c r="B934" s="1"/>
      <c r="C934" s="2"/>
      <c r="D934" s="2"/>
      <c r="E934" s="5">
        <f t="shared" si="32"/>
        <v>0</v>
      </c>
      <c r="F934" s="6">
        <f t="shared" si="33"/>
        <v>0</v>
      </c>
    </row>
    <row r="935" spans="1:6" x14ac:dyDescent="0.3">
      <c r="A935" s="4"/>
      <c r="B935" s="1"/>
      <c r="C935" s="2"/>
      <c r="D935" s="2"/>
      <c r="E935" s="5">
        <f t="shared" si="32"/>
        <v>0</v>
      </c>
      <c r="F935" s="6">
        <f t="shared" si="33"/>
        <v>0</v>
      </c>
    </row>
    <row r="936" spans="1:6" x14ac:dyDescent="0.3">
      <c r="A936" s="4"/>
      <c r="B936" s="1"/>
      <c r="C936" s="2"/>
      <c r="D936" s="2"/>
      <c r="E936" s="5">
        <f t="shared" si="32"/>
        <v>0</v>
      </c>
      <c r="F936" s="6">
        <f t="shared" si="33"/>
        <v>0</v>
      </c>
    </row>
    <row r="937" spans="1:6" x14ac:dyDescent="0.3">
      <c r="A937" s="4"/>
      <c r="B937" s="1"/>
      <c r="C937" s="2"/>
      <c r="D937" s="2"/>
      <c r="E937" s="5">
        <f t="shared" si="32"/>
        <v>0</v>
      </c>
      <c r="F937" s="6">
        <f t="shared" si="33"/>
        <v>0</v>
      </c>
    </row>
    <row r="938" spans="1:6" x14ac:dyDescent="0.3">
      <c r="A938" s="4"/>
      <c r="B938" s="1"/>
      <c r="C938" s="2"/>
      <c r="D938" s="2"/>
      <c r="E938" s="5">
        <f t="shared" si="32"/>
        <v>0</v>
      </c>
      <c r="F938" s="6">
        <f t="shared" si="33"/>
        <v>0</v>
      </c>
    </row>
    <row r="939" spans="1:6" x14ac:dyDescent="0.3">
      <c r="A939" s="4"/>
      <c r="B939" s="1"/>
      <c r="C939" s="2"/>
      <c r="D939" s="2"/>
      <c r="E939" s="5">
        <f t="shared" si="32"/>
        <v>0</v>
      </c>
      <c r="F939" s="6">
        <f t="shared" si="33"/>
        <v>0</v>
      </c>
    </row>
    <row r="940" spans="1:6" x14ac:dyDescent="0.3">
      <c r="A940" s="4"/>
      <c r="B940" s="1"/>
      <c r="C940" s="2"/>
      <c r="D940" s="2"/>
      <c r="E940" s="5">
        <f t="shared" si="32"/>
        <v>0</v>
      </c>
      <c r="F940" s="6">
        <f t="shared" si="33"/>
        <v>0</v>
      </c>
    </row>
    <row r="941" spans="1:6" x14ac:dyDescent="0.3">
      <c r="A941" s="4"/>
      <c r="B941" s="1"/>
      <c r="C941" s="2"/>
      <c r="D941" s="2"/>
      <c r="E941" s="5">
        <f t="shared" si="32"/>
        <v>0</v>
      </c>
      <c r="F941" s="6">
        <f t="shared" si="33"/>
        <v>0</v>
      </c>
    </row>
    <row r="942" spans="1:6" x14ac:dyDescent="0.3">
      <c r="A942" s="4"/>
      <c r="B942" s="1"/>
      <c r="C942" s="2"/>
      <c r="D942" s="2"/>
      <c r="E942" s="5">
        <f t="shared" si="32"/>
        <v>0</v>
      </c>
      <c r="F942" s="6">
        <f t="shared" si="33"/>
        <v>0</v>
      </c>
    </row>
    <row r="943" spans="1:6" x14ac:dyDescent="0.3">
      <c r="A943" s="4"/>
      <c r="B943" s="1"/>
      <c r="C943" s="2"/>
      <c r="D943" s="2"/>
      <c r="E943" s="5">
        <f t="shared" si="32"/>
        <v>0</v>
      </c>
      <c r="F943" s="6">
        <f t="shared" si="33"/>
        <v>0</v>
      </c>
    </row>
    <row r="944" spans="1:6" x14ac:dyDescent="0.3">
      <c r="A944" s="4"/>
      <c r="B944" s="1"/>
      <c r="C944" s="2"/>
      <c r="D944" s="2"/>
      <c r="E944" s="5">
        <f t="shared" si="32"/>
        <v>0</v>
      </c>
      <c r="F944" s="6">
        <f t="shared" si="33"/>
        <v>0</v>
      </c>
    </row>
    <row r="945" spans="1:6" x14ac:dyDescent="0.3">
      <c r="A945" s="4"/>
      <c r="B945" s="1"/>
      <c r="C945" s="2"/>
      <c r="D945" s="2"/>
      <c r="E945" s="5">
        <f t="shared" si="32"/>
        <v>0</v>
      </c>
      <c r="F945" s="6">
        <f t="shared" si="33"/>
        <v>0</v>
      </c>
    </row>
    <row r="946" spans="1:6" x14ac:dyDescent="0.3">
      <c r="A946" s="4"/>
      <c r="B946" s="1"/>
      <c r="C946" s="2"/>
      <c r="D946" s="2"/>
      <c r="E946" s="5">
        <f t="shared" si="32"/>
        <v>0</v>
      </c>
      <c r="F946" s="6">
        <f t="shared" si="33"/>
        <v>0</v>
      </c>
    </row>
    <row r="947" spans="1:6" x14ac:dyDescent="0.3">
      <c r="A947" s="4"/>
      <c r="B947" s="1"/>
      <c r="C947" s="2"/>
      <c r="D947" s="2"/>
      <c r="E947" s="5">
        <f t="shared" si="32"/>
        <v>0</v>
      </c>
      <c r="F947" s="6">
        <f t="shared" si="33"/>
        <v>0</v>
      </c>
    </row>
    <row r="948" spans="1:6" x14ac:dyDescent="0.3">
      <c r="A948" s="4"/>
      <c r="B948" s="1"/>
      <c r="C948" s="2"/>
      <c r="D948" s="2"/>
      <c r="E948" s="5">
        <f t="shared" si="32"/>
        <v>0</v>
      </c>
      <c r="F948" s="6">
        <f t="shared" si="33"/>
        <v>0</v>
      </c>
    </row>
    <row r="949" spans="1:6" x14ac:dyDescent="0.3">
      <c r="A949" s="4"/>
      <c r="B949" s="1"/>
      <c r="C949" s="2"/>
      <c r="D949" s="2"/>
      <c r="E949" s="5">
        <f t="shared" si="32"/>
        <v>0</v>
      </c>
      <c r="F949" s="6">
        <f t="shared" si="33"/>
        <v>0</v>
      </c>
    </row>
    <row r="950" spans="1:6" x14ac:dyDescent="0.3">
      <c r="A950" s="4"/>
      <c r="B950" s="1"/>
      <c r="C950" s="2"/>
      <c r="D950" s="2"/>
      <c r="E950" s="5">
        <f t="shared" si="32"/>
        <v>0</v>
      </c>
      <c r="F950" s="6">
        <f t="shared" si="33"/>
        <v>0</v>
      </c>
    </row>
    <row r="951" spans="1:6" x14ac:dyDescent="0.3">
      <c r="A951" s="4"/>
      <c r="B951" s="1"/>
      <c r="C951" s="2"/>
      <c r="D951" s="2"/>
      <c r="E951" s="5">
        <f t="shared" si="32"/>
        <v>0</v>
      </c>
      <c r="F951" s="6">
        <f t="shared" si="33"/>
        <v>0</v>
      </c>
    </row>
    <row r="952" spans="1:6" x14ac:dyDescent="0.3">
      <c r="A952" s="4"/>
      <c r="B952" s="1"/>
      <c r="C952" s="2"/>
      <c r="D952" s="2"/>
      <c r="E952" s="5">
        <f t="shared" si="32"/>
        <v>0</v>
      </c>
      <c r="F952" s="6">
        <f t="shared" si="33"/>
        <v>0</v>
      </c>
    </row>
    <row r="953" spans="1:6" x14ac:dyDescent="0.3">
      <c r="A953" s="4"/>
      <c r="B953" s="1"/>
      <c r="C953" s="2"/>
      <c r="D953" s="2"/>
      <c r="E953" s="5">
        <f t="shared" si="32"/>
        <v>0</v>
      </c>
      <c r="F953" s="6">
        <f t="shared" si="33"/>
        <v>0</v>
      </c>
    </row>
    <row r="954" spans="1:6" x14ac:dyDescent="0.3">
      <c r="A954" s="4"/>
      <c r="B954" s="1"/>
      <c r="C954" s="2"/>
      <c r="D954" s="2"/>
      <c r="E954" s="5">
        <f t="shared" si="32"/>
        <v>0</v>
      </c>
      <c r="F954" s="6">
        <f t="shared" si="33"/>
        <v>0</v>
      </c>
    </row>
    <row r="955" spans="1:6" x14ac:dyDescent="0.3">
      <c r="A955" s="4"/>
      <c r="B955" s="1"/>
      <c r="C955" s="2"/>
      <c r="D955" s="2"/>
      <c r="E955" s="5">
        <f t="shared" si="32"/>
        <v>0</v>
      </c>
      <c r="F955" s="6">
        <f t="shared" si="33"/>
        <v>0</v>
      </c>
    </row>
    <row r="956" spans="1:6" x14ac:dyDescent="0.3">
      <c r="A956" s="4"/>
      <c r="B956" s="1"/>
      <c r="C956" s="2"/>
      <c r="D956" s="2"/>
      <c r="E956" s="5">
        <f t="shared" si="32"/>
        <v>0</v>
      </c>
      <c r="F956" s="6">
        <f t="shared" si="33"/>
        <v>0</v>
      </c>
    </row>
    <row r="957" spans="1:6" x14ac:dyDescent="0.3">
      <c r="A957" s="4"/>
      <c r="B957" s="1"/>
      <c r="C957" s="2"/>
      <c r="D957" s="2"/>
      <c r="E957" s="5">
        <f t="shared" si="32"/>
        <v>0</v>
      </c>
      <c r="F957" s="6">
        <f t="shared" si="33"/>
        <v>0</v>
      </c>
    </row>
    <row r="958" spans="1:6" x14ac:dyDescent="0.3">
      <c r="A958" s="4"/>
      <c r="B958" s="1"/>
      <c r="C958" s="2"/>
      <c r="D958" s="2"/>
      <c r="E958" s="5">
        <f t="shared" si="32"/>
        <v>0</v>
      </c>
      <c r="F958" s="6">
        <f t="shared" si="33"/>
        <v>0</v>
      </c>
    </row>
    <row r="959" spans="1:6" x14ac:dyDescent="0.3">
      <c r="A959" s="4"/>
      <c r="B959" s="1"/>
      <c r="C959" s="2"/>
      <c r="D959" s="2"/>
      <c r="E959" s="5">
        <f t="shared" si="32"/>
        <v>0</v>
      </c>
      <c r="F959" s="6">
        <f t="shared" si="33"/>
        <v>0</v>
      </c>
    </row>
    <row r="960" spans="1:6" x14ac:dyDescent="0.3">
      <c r="A960" s="4"/>
      <c r="B960" s="1"/>
      <c r="C960" s="2"/>
      <c r="D960" s="2"/>
      <c r="E960" s="5">
        <f t="shared" si="32"/>
        <v>0</v>
      </c>
      <c r="F960" s="6">
        <f t="shared" si="33"/>
        <v>0</v>
      </c>
    </row>
    <row r="961" spans="1:6" x14ac:dyDescent="0.3">
      <c r="A961" s="4"/>
      <c r="B961" s="1"/>
      <c r="C961" s="2"/>
      <c r="D961" s="2"/>
      <c r="E961" s="5">
        <f t="shared" si="32"/>
        <v>0</v>
      </c>
      <c r="F961" s="6">
        <f t="shared" si="33"/>
        <v>0</v>
      </c>
    </row>
    <row r="962" spans="1:6" x14ac:dyDescent="0.3">
      <c r="A962" s="4"/>
      <c r="B962" s="1"/>
      <c r="C962" s="2"/>
      <c r="D962" s="2"/>
      <c r="E962" s="5">
        <f t="shared" si="32"/>
        <v>0</v>
      </c>
      <c r="F962" s="6">
        <f t="shared" si="33"/>
        <v>0</v>
      </c>
    </row>
    <row r="963" spans="1:6" x14ac:dyDescent="0.3">
      <c r="A963" s="4"/>
      <c r="B963" s="1"/>
      <c r="C963" s="2"/>
      <c r="D963" s="2"/>
      <c r="E963" s="5">
        <f t="shared" ref="E963:E1026" si="34">D963-C963</f>
        <v>0</v>
      </c>
      <c r="F963" s="6">
        <f t="shared" ref="F963:F1026" si="35">ROUND(VALUE(E963)*4,2)</f>
        <v>0</v>
      </c>
    </row>
    <row r="964" spans="1:6" x14ac:dyDescent="0.3">
      <c r="A964" s="4"/>
      <c r="B964" s="1"/>
      <c r="C964" s="2"/>
      <c r="D964" s="2"/>
      <c r="E964" s="5">
        <f t="shared" si="34"/>
        <v>0</v>
      </c>
      <c r="F964" s="6">
        <f t="shared" si="35"/>
        <v>0</v>
      </c>
    </row>
    <row r="965" spans="1:6" x14ac:dyDescent="0.3">
      <c r="A965" s="4"/>
      <c r="B965" s="1"/>
      <c r="C965" s="2"/>
      <c r="D965" s="2"/>
      <c r="E965" s="5">
        <f t="shared" si="34"/>
        <v>0</v>
      </c>
      <c r="F965" s="6">
        <f t="shared" si="35"/>
        <v>0</v>
      </c>
    </row>
    <row r="966" spans="1:6" x14ac:dyDescent="0.3">
      <c r="A966" s="4"/>
      <c r="B966" s="1"/>
      <c r="C966" s="2"/>
      <c r="D966" s="2"/>
      <c r="E966" s="5">
        <f t="shared" si="34"/>
        <v>0</v>
      </c>
      <c r="F966" s="6">
        <f t="shared" si="35"/>
        <v>0</v>
      </c>
    </row>
    <row r="967" spans="1:6" x14ac:dyDescent="0.3">
      <c r="A967" s="4"/>
      <c r="B967" s="1"/>
      <c r="C967" s="2"/>
      <c r="D967" s="2"/>
      <c r="E967" s="5">
        <f t="shared" si="34"/>
        <v>0</v>
      </c>
      <c r="F967" s="6">
        <f t="shared" si="35"/>
        <v>0</v>
      </c>
    </row>
    <row r="968" spans="1:6" x14ac:dyDescent="0.3">
      <c r="A968" s="4"/>
      <c r="B968" s="1"/>
      <c r="C968" s="2"/>
      <c r="D968" s="2"/>
      <c r="E968" s="5">
        <f t="shared" si="34"/>
        <v>0</v>
      </c>
      <c r="F968" s="6">
        <f t="shared" si="35"/>
        <v>0</v>
      </c>
    </row>
    <row r="969" spans="1:6" x14ac:dyDescent="0.3">
      <c r="A969" s="4"/>
      <c r="B969" s="1"/>
      <c r="C969" s="2"/>
      <c r="D969" s="2"/>
      <c r="E969" s="5">
        <f t="shared" si="34"/>
        <v>0</v>
      </c>
      <c r="F969" s="6">
        <f t="shared" si="35"/>
        <v>0</v>
      </c>
    </row>
    <row r="970" spans="1:6" x14ac:dyDescent="0.3">
      <c r="A970" s="4"/>
      <c r="B970" s="1"/>
      <c r="C970" s="2"/>
      <c r="D970" s="2"/>
      <c r="E970" s="5">
        <f t="shared" si="34"/>
        <v>0</v>
      </c>
      <c r="F970" s="6">
        <f t="shared" si="35"/>
        <v>0</v>
      </c>
    </row>
    <row r="971" spans="1:6" x14ac:dyDescent="0.3">
      <c r="A971" s="4"/>
      <c r="B971" s="1"/>
      <c r="C971" s="2"/>
      <c r="D971" s="2"/>
      <c r="E971" s="5">
        <f t="shared" si="34"/>
        <v>0</v>
      </c>
      <c r="F971" s="6">
        <f t="shared" si="35"/>
        <v>0</v>
      </c>
    </row>
    <row r="972" spans="1:6" x14ac:dyDescent="0.3">
      <c r="A972" s="4"/>
      <c r="B972" s="1"/>
      <c r="C972" s="2"/>
      <c r="D972" s="2"/>
      <c r="E972" s="5">
        <f t="shared" si="34"/>
        <v>0</v>
      </c>
      <c r="F972" s="6">
        <f t="shared" si="35"/>
        <v>0</v>
      </c>
    </row>
    <row r="973" spans="1:6" x14ac:dyDescent="0.3">
      <c r="A973" s="4"/>
      <c r="B973" s="1"/>
      <c r="C973" s="2"/>
      <c r="D973" s="2"/>
      <c r="E973" s="5">
        <f t="shared" si="34"/>
        <v>0</v>
      </c>
      <c r="F973" s="6">
        <f t="shared" si="35"/>
        <v>0</v>
      </c>
    </row>
    <row r="974" spans="1:6" x14ac:dyDescent="0.3">
      <c r="A974" s="4"/>
      <c r="B974" s="1"/>
      <c r="C974" s="2"/>
      <c r="D974" s="2"/>
      <c r="E974" s="5">
        <f t="shared" si="34"/>
        <v>0</v>
      </c>
      <c r="F974" s="6">
        <f t="shared" si="35"/>
        <v>0</v>
      </c>
    </row>
    <row r="975" spans="1:6" x14ac:dyDescent="0.3">
      <c r="A975" s="4"/>
      <c r="B975" s="1"/>
      <c r="C975" s="2"/>
      <c r="D975" s="2"/>
      <c r="E975" s="5">
        <f t="shared" si="34"/>
        <v>0</v>
      </c>
      <c r="F975" s="6">
        <f t="shared" si="35"/>
        <v>0</v>
      </c>
    </row>
    <row r="976" spans="1:6" x14ac:dyDescent="0.3">
      <c r="A976" s="4"/>
      <c r="B976" s="1"/>
      <c r="C976" s="2"/>
      <c r="D976" s="2"/>
      <c r="E976" s="5">
        <f t="shared" si="34"/>
        <v>0</v>
      </c>
      <c r="F976" s="6">
        <f t="shared" si="35"/>
        <v>0</v>
      </c>
    </row>
    <row r="977" spans="1:6" x14ac:dyDescent="0.3">
      <c r="A977" s="4"/>
      <c r="B977" s="1"/>
      <c r="C977" s="2"/>
      <c r="D977" s="2"/>
      <c r="E977" s="5">
        <f t="shared" si="34"/>
        <v>0</v>
      </c>
      <c r="F977" s="6">
        <f t="shared" si="35"/>
        <v>0</v>
      </c>
    </row>
    <row r="978" spans="1:6" x14ac:dyDescent="0.3">
      <c r="A978" s="4"/>
      <c r="B978" s="1"/>
      <c r="C978" s="2"/>
      <c r="D978" s="2"/>
      <c r="E978" s="5">
        <f t="shared" si="34"/>
        <v>0</v>
      </c>
      <c r="F978" s="6">
        <f t="shared" si="35"/>
        <v>0</v>
      </c>
    </row>
    <row r="979" spans="1:6" x14ac:dyDescent="0.3">
      <c r="A979" s="4"/>
      <c r="B979" s="1"/>
      <c r="C979" s="2"/>
      <c r="D979" s="2"/>
      <c r="E979" s="5">
        <f t="shared" si="34"/>
        <v>0</v>
      </c>
      <c r="F979" s="6">
        <f t="shared" si="35"/>
        <v>0</v>
      </c>
    </row>
    <row r="980" spans="1:6" x14ac:dyDescent="0.3">
      <c r="A980" s="4"/>
      <c r="B980" s="1"/>
      <c r="C980" s="2"/>
      <c r="D980" s="2"/>
      <c r="E980" s="5">
        <f t="shared" si="34"/>
        <v>0</v>
      </c>
      <c r="F980" s="6">
        <f t="shared" si="35"/>
        <v>0</v>
      </c>
    </row>
    <row r="981" spans="1:6" x14ac:dyDescent="0.3">
      <c r="A981" s="4"/>
      <c r="B981" s="1"/>
      <c r="C981" s="2"/>
      <c r="D981" s="2"/>
      <c r="E981" s="5">
        <f t="shared" si="34"/>
        <v>0</v>
      </c>
      <c r="F981" s="6">
        <f t="shared" si="35"/>
        <v>0</v>
      </c>
    </row>
    <row r="982" spans="1:6" x14ac:dyDescent="0.3">
      <c r="A982" s="4"/>
      <c r="B982" s="1"/>
      <c r="C982" s="2"/>
      <c r="D982" s="2"/>
      <c r="E982" s="5">
        <f t="shared" si="34"/>
        <v>0</v>
      </c>
      <c r="F982" s="6">
        <f t="shared" si="35"/>
        <v>0</v>
      </c>
    </row>
    <row r="983" spans="1:6" x14ac:dyDescent="0.3">
      <c r="A983" s="4"/>
      <c r="B983" s="1"/>
      <c r="C983" s="2"/>
      <c r="D983" s="2"/>
      <c r="E983" s="5">
        <f t="shared" si="34"/>
        <v>0</v>
      </c>
      <c r="F983" s="6">
        <f t="shared" si="35"/>
        <v>0</v>
      </c>
    </row>
    <row r="984" spans="1:6" x14ac:dyDescent="0.3">
      <c r="A984" s="4"/>
      <c r="B984" s="1"/>
      <c r="C984" s="2"/>
      <c r="D984" s="2"/>
      <c r="E984" s="5">
        <f t="shared" si="34"/>
        <v>0</v>
      </c>
      <c r="F984" s="6">
        <f t="shared" si="35"/>
        <v>0</v>
      </c>
    </row>
    <row r="985" spans="1:6" x14ac:dyDescent="0.3">
      <c r="A985" s="4"/>
      <c r="B985" s="1"/>
      <c r="C985" s="2"/>
      <c r="D985" s="2"/>
      <c r="E985" s="5">
        <f t="shared" si="34"/>
        <v>0</v>
      </c>
      <c r="F985" s="6">
        <f t="shared" si="35"/>
        <v>0</v>
      </c>
    </row>
    <row r="986" spans="1:6" x14ac:dyDescent="0.3">
      <c r="A986" s="4"/>
      <c r="B986" s="1"/>
      <c r="C986" s="2"/>
      <c r="D986" s="2"/>
      <c r="E986" s="5">
        <f t="shared" si="34"/>
        <v>0</v>
      </c>
      <c r="F986" s="6">
        <f t="shared" si="35"/>
        <v>0</v>
      </c>
    </row>
    <row r="987" spans="1:6" x14ac:dyDescent="0.3">
      <c r="A987" s="4"/>
      <c r="B987" s="1"/>
      <c r="C987" s="2"/>
      <c r="D987" s="2"/>
      <c r="E987" s="5">
        <f t="shared" si="34"/>
        <v>0</v>
      </c>
      <c r="F987" s="6">
        <f t="shared" si="35"/>
        <v>0</v>
      </c>
    </row>
    <row r="988" spans="1:6" x14ac:dyDescent="0.3">
      <c r="A988" s="4"/>
      <c r="B988" s="1"/>
      <c r="C988" s="2"/>
      <c r="D988" s="2"/>
      <c r="E988" s="5">
        <f t="shared" si="34"/>
        <v>0</v>
      </c>
      <c r="F988" s="6">
        <f t="shared" si="35"/>
        <v>0</v>
      </c>
    </row>
    <row r="989" spans="1:6" x14ac:dyDescent="0.3">
      <c r="A989" s="4"/>
      <c r="B989" s="1"/>
      <c r="C989" s="2"/>
      <c r="D989" s="2"/>
      <c r="E989" s="5">
        <f t="shared" si="34"/>
        <v>0</v>
      </c>
      <c r="F989" s="6">
        <f t="shared" si="35"/>
        <v>0</v>
      </c>
    </row>
    <row r="990" spans="1:6" x14ac:dyDescent="0.3">
      <c r="A990" s="4"/>
      <c r="B990" s="1"/>
      <c r="C990" s="2"/>
      <c r="D990" s="2"/>
      <c r="E990" s="5">
        <f t="shared" si="34"/>
        <v>0</v>
      </c>
      <c r="F990" s="6">
        <f t="shared" si="35"/>
        <v>0</v>
      </c>
    </row>
    <row r="991" spans="1:6" x14ac:dyDescent="0.3">
      <c r="A991" s="4"/>
      <c r="B991" s="1"/>
      <c r="C991" s="2"/>
      <c r="D991" s="2"/>
      <c r="E991" s="5">
        <f t="shared" si="34"/>
        <v>0</v>
      </c>
      <c r="F991" s="6">
        <f t="shared" si="35"/>
        <v>0</v>
      </c>
    </row>
    <row r="992" spans="1:6" x14ac:dyDescent="0.3">
      <c r="A992" s="4"/>
      <c r="B992" s="1"/>
      <c r="C992" s="2"/>
      <c r="D992" s="2"/>
      <c r="E992" s="5">
        <f t="shared" si="34"/>
        <v>0</v>
      </c>
      <c r="F992" s="6">
        <f t="shared" si="35"/>
        <v>0</v>
      </c>
    </row>
    <row r="993" spans="1:6" x14ac:dyDescent="0.3">
      <c r="A993" s="4"/>
      <c r="B993" s="1"/>
      <c r="C993" s="2"/>
      <c r="D993" s="2"/>
      <c r="E993" s="5">
        <f t="shared" si="34"/>
        <v>0</v>
      </c>
      <c r="F993" s="6">
        <f t="shared" si="35"/>
        <v>0</v>
      </c>
    </row>
    <row r="994" spans="1:6" x14ac:dyDescent="0.3">
      <c r="A994" s="4"/>
      <c r="B994" s="1"/>
      <c r="C994" s="2"/>
      <c r="D994" s="2"/>
      <c r="E994" s="5">
        <f t="shared" si="34"/>
        <v>0</v>
      </c>
      <c r="F994" s="6">
        <f t="shared" si="35"/>
        <v>0</v>
      </c>
    </row>
    <row r="995" spans="1:6" x14ac:dyDescent="0.3">
      <c r="A995" s="4"/>
      <c r="B995" s="1"/>
      <c r="C995" s="2"/>
      <c r="D995" s="2"/>
      <c r="E995" s="5">
        <f t="shared" si="34"/>
        <v>0</v>
      </c>
      <c r="F995" s="6">
        <f t="shared" si="35"/>
        <v>0</v>
      </c>
    </row>
    <row r="996" spans="1:6" x14ac:dyDescent="0.3">
      <c r="A996" s="4"/>
      <c r="B996" s="1"/>
      <c r="C996" s="2"/>
      <c r="D996" s="2"/>
      <c r="E996" s="5">
        <f t="shared" si="34"/>
        <v>0</v>
      </c>
      <c r="F996" s="6">
        <f t="shared" si="35"/>
        <v>0</v>
      </c>
    </row>
    <row r="997" spans="1:6" x14ac:dyDescent="0.3">
      <c r="A997" s="4"/>
      <c r="B997" s="1"/>
      <c r="C997" s="2"/>
      <c r="D997" s="2"/>
      <c r="E997" s="5">
        <f t="shared" si="34"/>
        <v>0</v>
      </c>
      <c r="F997" s="6">
        <f t="shared" si="35"/>
        <v>0</v>
      </c>
    </row>
    <row r="998" spans="1:6" x14ac:dyDescent="0.3">
      <c r="A998" s="4"/>
      <c r="B998" s="1"/>
      <c r="C998" s="2"/>
      <c r="D998" s="2"/>
      <c r="E998" s="5">
        <f t="shared" si="34"/>
        <v>0</v>
      </c>
      <c r="F998" s="6">
        <f t="shared" si="35"/>
        <v>0</v>
      </c>
    </row>
    <row r="999" spans="1:6" x14ac:dyDescent="0.3">
      <c r="A999" s="4"/>
      <c r="B999" s="1"/>
      <c r="C999" s="2"/>
      <c r="D999" s="2"/>
      <c r="E999" s="5">
        <f t="shared" si="34"/>
        <v>0</v>
      </c>
      <c r="F999" s="6">
        <f t="shared" si="35"/>
        <v>0</v>
      </c>
    </row>
    <row r="1000" spans="1:6" x14ac:dyDescent="0.3">
      <c r="A1000" s="4"/>
      <c r="B1000" s="1"/>
      <c r="C1000" s="2"/>
      <c r="D1000" s="2"/>
      <c r="E1000" s="5">
        <f t="shared" si="34"/>
        <v>0</v>
      </c>
      <c r="F1000" s="6">
        <f t="shared" si="35"/>
        <v>0</v>
      </c>
    </row>
    <row r="1001" spans="1:6" x14ac:dyDescent="0.3">
      <c r="A1001" s="4"/>
      <c r="B1001" s="1"/>
      <c r="C1001" s="2"/>
      <c r="D1001" s="2"/>
      <c r="E1001" s="5">
        <f t="shared" si="34"/>
        <v>0</v>
      </c>
      <c r="F1001" s="6">
        <f t="shared" si="35"/>
        <v>0</v>
      </c>
    </row>
    <row r="1002" spans="1:6" x14ac:dyDescent="0.3">
      <c r="A1002" s="4"/>
      <c r="B1002" s="1"/>
      <c r="C1002" s="2"/>
      <c r="D1002" s="2"/>
      <c r="E1002" s="5">
        <f t="shared" si="34"/>
        <v>0</v>
      </c>
      <c r="F1002" s="6">
        <f t="shared" si="35"/>
        <v>0</v>
      </c>
    </row>
    <row r="1003" spans="1:6" x14ac:dyDescent="0.3">
      <c r="A1003" s="4"/>
      <c r="B1003" s="1"/>
      <c r="C1003" s="2"/>
      <c r="D1003" s="2"/>
      <c r="E1003" s="5">
        <f t="shared" si="34"/>
        <v>0</v>
      </c>
      <c r="F1003" s="6">
        <f t="shared" si="35"/>
        <v>0</v>
      </c>
    </row>
    <row r="1004" spans="1:6" x14ac:dyDescent="0.3">
      <c r="A1004" s="4"/>
      <c r="B1004" s="1"/>
      <c r="C1004" s="2"/>
      <c r="D1004" s="2"/>
      <c r="E1004" s="5">
        <f t="shared" si="34"/>
        <v>0</v>
      </c>
      <c r="F1004" s="6">
        <f t="shared" si="35"/>
        <v>0</v>
      </c>
    </row>
    <row r="1005" spans="1:6" x14ac:dyDescent="0.3">
      <c r="A1005" s="4"/>
      <c r="B1005" s="1"/>
      <c r="C1005" s="2"/>
      <c r="D1005" s="2"/>
      <c r="E1005" s="5">
        <f t="shared" si="34"/>
        <v>0</v>
      </c>
      <c r="F1005" s="6">
        <f t="shared" si="35"/>
        <v>0</v>
      </c>
    </row>
    <row r="1006" spans="1:6" x14ac:dyDescent="0.3">
      <c r="A1006" s="4"/>
      <c r="B1006" s="1"/>
      <c r="C1006" s="2"/>
      <c r="D1006" s="2"/>
      <c r="E1006" s="5">
        <f t="shared" si="34"/>
        <v>0</v>
      </c>
      <c r="F1006" s="6">
        <f t="shared" si="35"/>
        <v>0</v>
      </c>
    </row>
    <row r="1007" spans="1:6" x14ac:dyDescent="0.3">
      <c r="A1007" s="4"/>
      <c r="B1007" s="1"/>
      <c r="C1007" s="2"/>
      <c r="D1007" s="2"/>
      <c r="E1007" s="5">
        <f t="shared" si="34"/>
        <v>0</v>
      </c>
      <c r="F1007" s="6">
        <f t="shared" si="35"/>
        <v>0</v>
      </c>
    </row>
    <row r="1008" spans="1:6" x14ac:dyDescent="0.3">
      <c r="A1008" s="4"/>
      <c r="B1008" s="1"/>
      <c r="C1008" s="2"/>
      <c r="D1008" s="2"/>
      <c r="E1008" s="5">
        <f t="shared" si="34"/>
        <v>0</v>
      </c>
      <c r="F1008" s="6">
        <f t="shared" si="35"/>
        <v>0</v>
      </c>
    </row>
    <row r="1009" spans="1:6" x14ac:dyDescent="0.3">
      <c r="A1009" s="4"/>
      <c r="B1009" s="1"/>
      <c r="C1009" s="2"/>
      <c r="D1009" s="2"/>
      <c r="E1009" s="5">
        <f t="shared" si="34"/>
        <v>0</v>
      </c>
      <c r="F1009" s="6">
        <f t="shared" si="35"/>
        <v>0</v>
      </c>
    </row>
    <row r="1010" spans="1:6" x14ac:dyDescent="0.3">
      <c r="A1010" s="4"/>
      <c r="B1010" s="1"/>
      <c r="C1010" s="2"/>
      <c r="D1010" s="2"/>
      <c r="E1010" s="5">
        <f t="shared" si="34"/>
        <v>0</v>
      </c>
      <c r="F1010" s="6">
        <f t="shared" si="35"/>
        <v>0</v>
      </c>
    </row>
    <row r="1011" spans="1:6" x14ac:dyDescent="0.3">
      <c r="A1011" s="4"/>
      <c r="B1011" s="1"/>
      <c r="C1011" s="2"/>
      <c r="D1011" s="2"/>
      <c r="E1011" s="5">
        <f t="shared" si="34"/>
        <v>0</v>
      </c>
      <c r="F1011" s="6">
        <f t="shared" si="35"/>
        <v>0</v>
      </c>
    </row>
    <row r="1012" spans="1:6" x14ac:dyDescent="0.3">
      <c r="A1012" s="4"/>
      <c r="B1012" s="1"/>
      <c r="C1012" s="2"/>
      <c r="D1012" s="2"/>
      <c r="E1012" s="5">
        <f t="shared" si="34"/>
        <v>0</v>
      </c>
      <c r="F1012" s="6">
        <f t="shared" si="35"/>
        <v>0</v>
      </c>
    </row>
    <row r="1013" spans="1:6" x14ac:dyDescent="0.3">
      <c r="A1013" s="4"/>
      <c r="B1013" s="1"/>
      <c r="C1013" s="2"/>
      <c r="D1013" s="2"/>
      <c r="E1013" s="5">
        <f t="shared" si="34"/>
        <v>0</v>
      </c>
      <c r="F1013" s="6">
        <f t="shared" si="35"/>
        <v>0</v>
      </c>
    </row>
    <row r="1014" spans="1:6" x14ac:dyDescent="0.3">
      <c r="A1014" s="4"/>
      <c r="B1014" s="1"/>
      <c r="C1014" s="2"/>
      <c r="D1014" s="2"/>
      <c r="E1014" s="5">
        <f t="shared" si="34"/>
        <v>0</v>
      </c>
      <c r="F1014" s="6">
        <f t="shared" si="35"/>
        <v>0</v>
      </c>
    </row>
    <row r="1015" spans="1:6" x14ac:dyDescent="0.3">
      <c r="A1015" s="4"/>
      <c r="B1015" s="1"/>
      <c r="C1015" s="2"/>
      <c r="D1015" s="2"/>
      <c r="E1015" s="5">
        <f t="shared" si="34"/>
        <v>0</v>
      </c>
      <c r="F1015" s="6">
        <f t="shared" si="35"/>
        <v>0</v>
      </c>
    </row>
    <row r="1016" spans="1:6" x14ac:dyDescent="0.3">
      <c r="A1016" s="4"/>
      <c r="B1016" s="1"/>
      <c r="C1016" s="2"/>
      <c r="D1016" s="2"/>
      <c r="E1016" s="5">
        <f t="shared" si="34"/>
        <v>0</v>
      </c>
      <c r="F1016" s="6">
        <f t="shared" si="35"/>
        <v>0</v>
      </c>
    </row>
    <row r="1017" spans="1:6" x14ac:dyDescent="0.3">
      <c r="A1017" s="4"/>
      <c r="B1017" s="1"/>
      <c r="C1017" s="2"/>
      <c r="D1017" s="2"/>
      <c r="E1017" s="5">
        <f t="shared" si="34"/>
        <v>0</v>
      </c>
      <c r="F1017" s="6">
        <f t="shared" si="35"/>
        <v>0</v>
      </c>
    </row>
    <row r="1018" spans="1:6" x14ac:dyDescent="0.3">
      <c r="A1018" s="4"/>
      <c r="B1018" s="1"/>
      <c r="C1018" s="2"/>
      <c r="D1018" s="2"/>
      <c r="E1018" s="5">
        <f t="shared" si="34"/>
        <v>0</v>
      </c>
      <c r="F1018" s="6">
        <f t="shared" si="35"/>
        <v>0</v>
      </c>
    </row>
    <row r="1019" spans="1:6" x14ac:dyDescent="0.3">
      <c r="A1019" s="4"/>
      <c r="B1019" s="1"/>
      <c r="C1019" s="2"/>
      <c r="D1019" s="2"/>
      <c r="E1019" s="5">
        <f t="shared" si="34"/>
        <v>0</v>
      </c>
      <c r="F1019" s="6">
        <f t="shared" si="35"/>
        <v>0</v>
      </c>
    </row>
    <row r="1020" spans="1:6" x14ac:dyDescent="0.3">
      <c r="A1020" s="4"/>
      <c r="B1020" s="1"/>
      <c r="C1020" s="2"/>
      <c r="D1020" s="2"/>
      <c r="E1020" s="5">
        <f t="shared" si="34"/>
        <v>0</v>
      </c>
      <c r="F1020" s="6">
        <f t="shared" si="35"/>
        <v>0</v>
      </c>
    </row>
    <row r="1021" spans="1:6" x14ac:dyDescent="0.3">
      <c r="A1021" s="4"/>
      <c r="B1021" s="1"/>
      <c r="C1021" s="2"/>
      <c r="D1021" s="2"/>
      <c r="E1021" s="5">
        <f t="shared" si="34"/>
        <v>0</v>
      </c>
      <c r="F1021" s="6">
        <f t="shared" si="35"/>
        <v>0</v>
      </c>
    </row>
    <row r="1022" spans="1:6" x14ac:dyDescent="0.3">
      <c r="A1022" s="4"/>
      <c r="B1022" s="1"/>
      <c r="C1022" s="2"/>
      <c r="D1022" s="2"/>
      <c r="E1022" s="5">
        <f t="shared" si="34"/>
        <v>0</v>
      </c>
      <c r="F1022" s="6">
        <f t="shared" si="35"/>
        <v>0</v>
      </c>
    </row>
    <row r="1023" spans="1:6" x14ac:dyDescent="0.3">
      <c r="A1023" s="4"/>
      <c r="B1023" s="1"/>
      <c r="C1023" s="2"/>
      <c r="D1023" s="2"/>
      <c r="E1023" s="5">
        <f t="shared" si="34"/>
        <v>0</v>
      </c>
      <c r="F1023" s="6">
        <f t="shared" si="35"/>
        <v>0</v>
      </c>
    </row>
    <row r="1024" spans="1:6" x14ac:dyDescent="0.3">
      <c r="A1024" s="4"/>
      <c r="B1024" s="1"/>
      <c r="C1024" s="2"/>
      <c r="D1024" s="2"/>
      <c r="E1024" s="5">
        <f t="shared" si="34"/>
        <v>0</v>
      </c>
      <c r="F1024" s="6">
        <f t="shared" si="35"/>
        <v>0</v>
      </c>
    </row>
    <row r="1025" spans="1:6" x14ac:dyDescent="0.3">
      <c r="A1025" s="4"/>
      <c r="B1025" s="1"/>
      <c r="C1025" s="2"/>
      <c r="D1025" s="2"/>
      <c r="E1025" s="5">
        <f t="shared" si="34"/>
        <v>0</v>
      </c>
      <c r="F1025" s="6">
        <f t="shared" si="35"/>
        <v>0</v>
      </c>
    </row>
    <row r="1026" spans="1:6" x14ac:dyDescent="0.3">
      <c r="A1026" s="4"/>
      <c r="B1026" s="1"/>
      <c r="C1026" s="2"/>
      <c r="D1026" s="2"/>
      <c r="E1026" s="5">
        <f t="shared" si="34"/>
        <v>0</v>
      </c>
      <c r="F1026" s="6">
        <f t="shared" si="35"/>
        <v>0</v>
      </c>
    </row>
    <row r="1027" spans="1:6" x14ac:dyDescent="0.3">
      <c r="A1027" s="4"/>
      <c r="B1027" s="1"/>
      <c r="C1027" s="2"/>
      <c r="D1027" s="2"/>
      <c r="E1027" s="5">
        <f t="shared" ref="E1027:E1090" si="36">D1027-C1027</f>
        <v>0</v>
      </c>
      <c r="F1027" s="6">
        <f t="shared" ref="F1027:F1090" si="37">ROUND(VALUE(E1027)*4,2)</f>
        <v>0</v>
      </c>
    </row>
    <row r="1028" spans="1:6" x14ac:dyDescent="0.3">
      <c r="A1028" s="4"/>
      <c r="B1028" s="1"/>
      <c r="C1028" s="2"/>
      <c r="D1028" s="2"/>
      <c r="E1028" s="5">
        <f t="shared" si="36"/>
        <v>0</v>
      </c>
      <c r="F1028" s="6">
        <f t="shared" si="37"/>
        <v>0</v>
      </c>
    </row>
    <row r="1029" spans="1:6" x14ac:dyDescent="0.3">
      <c r="A1029" s="4"/>
      <c r="B1029" s="1"/>
      <c r="C1029" s="2"/>
      <c r="D1029" s="2"/>
      <c r="E1029" s="5">
        <f t="shared" si="36"/>
        <v>0</v>
      </c>
      <c r="F1029" s="6">
        <f t="shared" si="37"/>
        <v>0</v>
      </c>
    </row>
    <row r="1030" spans="1:6" x14ac:dyDescent="0.3">
      <c r="A1030" s="4"/>
      <c r="B1030" s="1"/>
      <c r="C1030" s="2"/>
      <c r="D1030" s="2"/>
      <c r="E1030" s="5">
        <f t="shared" si="36"/>
        <v>0</v>
      </c>
      <c r="F1030" s="6">
        <f t="shared" si="37"/>
        <v>0</v>
      </c>
    </row>
    <row r="1031" spans="1:6" x14ac:dyDescent="0.3">
      <c r="A1031" s="4"/>
      <c r="B1031" s="1"/>
      <c r="C1031" s="2"/>
      <c r="D1031" s="2"/>
      <c r="E1031" s="5">
        <f t="shared" si="36"/>
        <v>0</v>
      </c>
      <c r="F1031" s="6">
        <f t="shared" si="37"/>
        <v>0</v>
      </c>
    </row>
    <row r="1032" spans="1:6" x14ac:dyDescent="0.3">
      <c r="A1032" s="4"/>
      <c r="B1032" s="1"/>
      <c r="C1032" s="2"/>
      <c r="D1032" s="2"/>
      <c r="E1032" s="5">
        <f t="shared" si="36"/>
        <v>0</v>
      </c>
      <c r="F1032" s="6">
        <f t="shared" si="37"/>
        <v>0</v>
      </c>
    </row>
    <row r="1033" spans="1:6" x14ac:dyDescent="0.3">
      <c r="A1033" s="4"/>
      <c r="B1033" s="1"/>
      <c r="C1033" s="2"/>
      <c r="D1033" s="2"/>
      <c r="E1033" s="5">
        <f t="shared" si="36"/>
        <v>0</v>
      </c>
      <c r="F1033" s="6">
        <f t="shared" si="37"/>
        <v>0</v>
      </c>
    </row>
    <row r="1034" spans="1:6" x14ac:dyDescent="0.3">
      <c r="A1034" s="4"/>
      <c r="B1034" s="1"/>
      <c r="C1034" s="2"/>
      <c r="D1034" s="2"/>
      <c r="E1034" s="5">
        <f t="shared" si="36"/>
        <v>0</v>
      </c>
      <c r="F1034" s="6">
        <f t="shared" si="37"/>
        <v>0</v>
      </c>
    </row>
    <row r="1035" spans="1:6" x14ac:dyDescent="0.3">
      <c r="A1035" s="4"/>
      <c r="B1035" s="1"/>
      <c r="C1035" s="2"/>
      <c r="D1035" s="2"/>
      <c r="E1035" s="5">
        <f t="shared" si="36"/>
        <v>0</v>
      </c>
      <c r="F1035" s="6">
        <f t="shared" si="37"/>
        <v>0</v>
      </c>
    </row>
    <row r="1036" spans="1:6" x14ac:dyDescent="0.3">
      <c r="A1036" s="4"/>
      <c r="B1036" s="1"/>
      <c r="C1036" s="2"/>
      <c r="D1036" s="2"/>
      <c r="E1036" s="5">
        <f t="shared" si="36"/>
        <v>0</v>
      </c>
      <c r="F1036" s="6">
        <f t="shared" si="37"/>
        <v>0</v>
      </c>
    </row>
    <row r="1037" spans="1:6" x14ac:dyDescent="0.3">
      <c r="A1037" s="4"/>
      <c r="B1037" s="1"/>
      <c r="C1037" s="2"/>
      <c r="D1037" s="2"/>
      <c r="E1037" s="5">
        <f t="shared" si="36"/>
        <v>0</v>
      </c>
      <c r="F1037" s="6">
        <f t="shared" si="37"/>
        <v>0</v>
      </c>
    </row>
    <row r="1038" spans="1:6" x14ac:dyDescent="0.3">
      <c r="A1038" s="4"/>
      <c r="B1038" s="1"/>
      <c r="C1038" s="2"/>
      <c r="D1038" s="2"/>
      <c r="E1038" s="5">
        <f t="shared" si="36"/>
        <v>0</v>
      </c>
      <c r="F1038" s="6">
        <f t="shared" si="37"/>
        <v>0</v>
      </c>
    </row>
    <row r="1039" spans="1:6" x14ac:dyDescent="0.3">
      <c r="A1039" s="4"/>
      <c r="B1039" s="1"/>
      <c r="C1039" s="2"/>
      <c r="D1039" s="2"/>
      <c r="E1039" s="5">
        <f t="shared" si="36"/>
        <v>0</v>
      </c>
      <c r="F1039" s="6">
        <f t="shared" si="37"/>
        <v>0</v>
      </c>
    </row>
    <row r="1040" spans="1:6" x14ac:dyDescent="0.3">
      <c r="A1040" s="4"/>
      <c r="B1040" s="1"/>
      <c r="C1040" s="2"/>
      <c r="D1040" s="2"/>
      <c r="E1040" s="5">
        <f t="shared" si="36"/>
        <v>0</v>
      </c>
      <c r="F1040" s="6">
        <f t="shared" si="37"/>
        <v>0</v>
      </c>
    </row>
    <row r="1041" spans="1:6" x14ac:dyDescent="0.3">
      <c r="A1041" s="4"/>
      <c r="B1041" s="1"/>
      <c r="C1041" s="2"/>
      <c r="D1041" s="2"/>
      <c r="E1041" s="5">
        <f t="shared" si="36"/>
        <v>0</v>
      </c>
      <c r="F1041" s="6">
        <f t="shared" si="37"/>
        <v>0</v>
      </c>
    </row>
    <row r="1042" spans="1:6" x14ac:dyDescent="0.3">
      <c r="A1042" s="4"/>
      <c r="B1042" s="1"/>
      <c r="C1042" s="2"/>
      <c r="D1042" s="2"/>
      <c r="E1042" s="5">
        <f t="shared" si="36"/>
        <v>0</v>
      </c>
      <c r="F1042" s="6">
        <f t="shared" si="37"/>
        <v>0</v>
      </c>
    </row>
    <row r="1043" spans="1:6" x14ac:dyDescent="0.3">
      <c r="A1043" s="4"/>
      <c r="B1043" s="1"/>
      <c r="C1043" s="2"/>
      <c r="D1043" s="2"/>
      <c r="E1043" s="5">
        <f t="shared" si="36"/>
        <v>0</v>
      </c>
      <c r="F1043" s="6">
        <f t="shared" si="37"/>
        <v>0</v>
      </c>
    </row>
    <row r="1044" spans="1:6" x14ac:dyDescent="0.3">
      <c r="A1044" s="4"/>
      <c r="B1044" s="1"/>
      <c r="C1044" s="2"/>
      <c r="D1044" s="2"/>
      <c r="E1044" s="5">
        <f t="shared" si="36"/>
        <v>0</v>
      </c>
      <c r="F1044" s="6">
        <f t="shared" si="37"/>
        <v>0</v>
      </c>
    </row>
    <row r="1045" spans="1:6" x14ac:dyDescent="0.3">
      <c r="A1045" s="4"/>
      <c r="B1045" s="1"/>
      <c r="C1045" s="2"/>
      <c r="D1045" s="2"/>
      <c r="E1045" s="5">
        <f t="shared" si="36"/>
        <v>0</v>
      </c>
      <c r="F1045" s="6">
        <f t="shared" si="37"/>
        <v>0</v>
      </c>
    </row>
    <row r="1046" spans="1:6" x14ac:dyDescent="0.3">
      <c r="A1046" s="4"/>
      <c r="B1046" s="1"/>
      <c r="C1046" s="2"/>
      <c r="D1046" s="2"/>
      <c r="E1046" s="5">
        <f t="shared" si="36"/>
        <v>0</v>
      </c>
      <c r="F1046" s="6">
        <f t="shared" si="37"/>
        <v>0</v>
      </c>
    </row>
    <row r="1047" spans="1:6" x14ac:dyDescent="0.3">
      <c r="A1047" s="4"/>
      <c r="B1047" s="1"/>
      <c r="C1047" s="2"/>
      <c r="D1047" s="2"/>
      <c r="E1047" s="5">
        <f t="shared" si="36"/>
        <v>0</v>
      </c>
      <c r="F1047" s="6">
        <f t="shared" si="37"/>
        <v>0</v>
      </c>
    </row>
    <row r="1048" spans="1:6" x14ac:dyDescent="0.3">
      <c r="A1048" s="4"/>
      <c r="B1048" s="1"/>
      <c r="C1048" s="2"/>
      <c r="D1048" s="2"/>
      <c r="E1048" s="5">
        <f t="shared" si="36"/>
        <v>0</v>
      </c>
      <c r="F1048" s="6">
        <f t="shared" si="37"/>
        <v>0</v>
      </c>
    </row>
    <row r="1049" spans="1:6" x14ac:dyDescent="0.3">
      <c r="A1049" s="4"/>
      <c r="B1049" s="1"/>
      <c r="C1049" s="2"/>
      <c r="D1049" s="2"/>
      <c r="E1049" s="5">
        <f t="shared" si="36"/>
        <v>0</v>
      </c>
      <c r="F1049" s="6">
        <f t="shared" si="37"/>
        <v>0</v>
      </c>
    </row>
    <row r="1050" spans="1:6" x14ac:dyDescent="0.3">
      <c r="A1050" s="4"/>
      <c r="B1050" s="1"/>
      <c r="C1050" s="2"/>
      <c r="D1050" s="2"/>
      <c r="E1050" s="5">
        <f t="shared" si="36"/>
        <v>0</v>
      </c>
      <c r="F1050" s="6">
        <f t="shared" si="37"/>
        <v>0</v>
      </c>
    </row>
    <row r="1051" spans="1:6" x14ac:dyDescent="0.3">
      <c r="A1051" s="4"/>
      <c r="B1051" s="1"/>
      <c r="C1051" s="2"/>
      <c r="D1051" s="2"/>
      <c r="E1051" s="5">
        <f t="shared" si="36"/>
        <v>0</v>
      </c>
      <c r="F1051" s="6">
        <f t="shared" si="37"/>
        <v>0</v>
      </c>
    </row>
    <row r="1052" spans="1:6" x14ac:dyDescent="0.3">
      <c r="A1052" s="4"/>
      <c r="B1052" s="1"/>
      <c r="C1052" s="2"/>
      <c r="D1052" s="2"/>
      <c r="E1052" s="5">
        <f t="shared" si="36"/>
        <v>0</v>
      </c>
      <c r="F1052" s="6">
        <f t="shared" si="37"/>
        <v>0</v>
      </c>
    </row>
    <row r="1053" spans="1:6" x14ac:dyDescent="0.3">
      <c r="A1053" s="4"/>
      <c r="B1053" s="1"/>
      <c r="C1053" s="2"/>
      <c r="D1053" s="2"/>
      <c r="E1053" s="5">
        <f t="shared" si="36"/>
        <v>0</v>
      </c>
      <c r="F1053" s="6">
        <f t="shared" si="37"/>
        <v>0</v>
      </c>
    </row>
    <row r="1054" spans="1:6" x14ac:dyDescent="0.3">
      <c r="A1054" s="4"/>
      <c r="B1054" s="1"/>
      <c r="C1054" s="2"/>
      <c r="D1054" s="2"/>
      <c r="E1054" s="5">
        <f t="shared" si="36"/>
        <v>0</v>
      </c>
      <c r="F1054" s="6">
        <f t="shared" si="37"/>
        <v>0</v>
      </c>
    </row>
    <row r="1055" spans="1:6" x14ac:dyDescent="0.3">
      <c r="A1055" s="4"/>
      <c r="B1055" s="1"/>
      <c r="C1055" s="2"/>
      <c r="D1055" s="2"/>
      <c r="E1055" s="5">
        <f t="shared" si="36"/>
        <v>0</v>
      </c>
      <c r="F1055" s="6">
        <f t="shared" si="37"/>
        <v>0</v>
      </c>
    </row>
    <row r="1056" spans="1:6" x14ac:dyDescent="0.3">
      <c r="A1056" s="4"/>
      <c r="B1056" s="1"/>
      <c r="C1056" s="2"/>
      <c r="D1056" s="2"/>
      <c r="E1056" s="5">
        <f t="shared" si="36"/>
        <v>0</v>
      </c>
      <c r="F1056" s="6">
        <f t="shared" si="37"/>
        <v>0</v>
      </c>
    </row>
    <row r="1057" spans="1:6" x14ac:dyDescent="0.3">
      <c r="A1057" s="4"/>
      <c r="B1057" s="1"/>
      <c r="C1057" s="2"/>
      <c r="D1057" s="2"/>
      <c r="E1057" s="5">
        <f t="shared" si="36"/>
        <v>0</v>
      </c>
      <c r="F1057" s="6">
        <f t="shared" si="37"/>
        <v>0</v>
      </c>
    </row>
    <row r="1058" spans="1:6" x14ac:dyDescent="0.3">
      <c r="A1058" s="4"/>
      <c r="B1058" s="1"/>
      <c r="C1058" s="2"/>
      <c r="D1058" s="2"/>
      <c r="E1058" s="5">
        <f t="shared" si="36"/>
        <v>0</v>
      </c>
      <c r="F1058" s="6">
        <f t="shared" si="37"/>
        <v>0</v>
      </c>
    </row>
    <row r="1059" spans="1:6" x14ac:dyDescent="0.3">
      <c r="A1059" s="4"/>
      <c r="B1059" s="1"/>
      <c r="C1059" s="2"/>
      <c r="D1059" s="2"/>
      <c r="E1059" s="5">
        <f t="shared" si="36"/>
        <v>0</v>
      </c>
      <c r="F1059" s="6">
        <f t="shared" si="37"/>
        <v>0</v>
      </c>
    </row>
    <row r="1060" spans="1:6" x14ac:dyDescent="0.3">
      <c r="A1060" s="4"/>
      <c r="B1060" s="1"/>
      <c r="C1060" s="2"/>
      <c r="D1060" s="2"/>
      <c r="E1060" s="5">
        <f t="shared" si="36"/>
        <v>0</v>
      </c>
      <c r="F1060" s="6">
        <f t="shared" si="37"/>
        <v>0</v>
      </c>
    </row>
    <row r="1061" spans="1:6" x14ac:dyDescent="0.3">
      <c r="A1061" s="4"/>
      <c r="B1061" s="1"/>
      <c r="C1061" s="2"/>
      <c r="D1061" s="2"/>
      <c r="E1061" s="5">
        <f t="shared" si="36"/>
        <v>0</v>
      </c>
      <c r="F1061" s="6">
        <f t="shared" si="37"/>
        <v>0</v>
      </c>
    </row>
    <row r="1062" spans="1:6" x14ac:dyDescent="0.3">
      <c r="A1062" s="4"/>
      <c r="B1062" s="1"/>
      <c r="C1062" s="2"/>
      <c r="D1062" s="2"/>
      <c r="E1062" s="5">
        <f t="shared" si="36"/>
        <v>0</v>
      </c>
      <c r="F1062" s="6">
        <f t="shared" si="37"/>
        <v>0</v>
      </c>
    </row>
    <row r="1063" spans="1:6" x14ac:dyDescent="0.3">
      <c r="A1063" s="4"/>
      <c r="B1063" s="1"/>
      <c r="C1063" s="2"/>
      <c r="D1063" s="2"/>
      <c r="E1063" s="5">
        <f t="shared" si="36"/>
        <v>0</v>
      </c>
      <c r="F1063" s="6">
        <f t="shared" si="37"/>
        <v>0</v>
      </c>
    </row>
    <row r="1064" spans="1:6" x14ac:dyDescent="0.3">
      <c r="A1064" s="4"/>
      <c r="B1064" s="1"/>
      <c r="C1064" s="2"/>
      <c r="D1064" s="2"/>
      <c r="E1064" s="5">
        <f t="shared" si="36"/>
        <v>0</v>
      </c>
      <c r="F1064" s="6">
        <f t="shared" si="37"/>
        <v>0</v>
      </c>
    </row>
    <row r="1065" spans="1:6" x14ac:dyDescent="0.3">
      <c r="A1065" s="4"/>
      <c r="B1065" s="1"/>
      <c r="C1065" s="2"/>
      <c r="D1065" s="2"/>
      <c r="E1065" s="5">
        <f t="shared" si="36"/>
        <v>0</v>
      </c>
      <c r="F1065" s="6">
        <f t="shared" si="37"/>
        <v>0</v>
      </c>
    </row>
    <row r="1066" spans="1:6" x14ac:dyDescent="0.3">
      <c r="A1066" s="4"/>
      <c r="B1066" s="1"/>
      <c r="C1066" s="2"/>
      <c r="D1066" s="2"/>
      <c r="E1066" s="5">
        <f t="shared" si="36"/>
        <v>0</v>
      </c>
      <c r="F1066" s="6">
        <f t="shared" si="37"/>
        <v>0</v>
      </c>
    </row>
    <row r="1067" spans="1:6" x14ac:dyDescent="0.3">
      <c r="A1067" s="4"/>
      <c r="B1067" s="1"/>
      <c r="C1067" s="2"/>
      <c r="D1067" s="2"/>
      <c r="E1067" s="5">
        <f t="shared" si="36"/>
        <v>0</v>
      </c>
      <c r="F1067" s="6">
        <f t="shared" si="37"/>
        <v>0</v>
      </c>
    </row>
    <row r="1068" spans="1:6" x14ac:dyDescent="0.3">
      <c r="A1068" s="4"/>
      <c r="B1068" s="1"/>
      <c r="C1068" s="2"/>
      <c r="D1068" s="2"/>
      <c r="E1068" s="5">
        <f t="shared" si="36"/>
        <v>0</v>
      </c>
      <c r="F1068" s="6">
        <f t="shared" si="37"/>
        <v>0</v>
      </c>
    </row>
    <row r="1069" spans="1:6" x14ac:dyDescent="0.3">
      <c r="A1069" s="4"/>
      <c r="B1069" s="1"/>
      <c r="C1069" s="2"/>
      <c r="D1069" s="2"/>
      <c r="E1069" s="5">
        <f t="shared" si="36"/>
        <v>0</v>
      </c>
      <c r="F1069" s="6">
        <f t="shared" si="37"/>
        <v>0</v>
      </c>
    </row>
    <row r="1070" spans="1:6" x14ac:dyDescent="0.3">
      <c r="A1070" s="4"/>
      <c r="B1070" s="1"/>
      <c r="C1070" s="2"/>
      <c r="D1070" s="2"/>
      <c r="E1070" s="5">
        <f t="shared" si="36"/>
        <v>0</v>
      </c>
      <c r="F1070" s="6">
        <f t="shared" si="37"/>
        <v>0</v>
      </c>
    </row>
    <row r="1071" spans="1:6" x14ac:dyDescent="0.3">
      <c r="A1071" s="4"/>
      <c r="B1071" s="1"/>
      <c r="C1071" s="2"/>
      <c r="D1071" s="2"/>
      <c r="E1071" s="5">
        <f t="shared" si="36"/>
        <v>0</v>
      </c>
      <c r="F1071" s="6">
        <f t="shared" si="37"/>
        <v>0</v>
      </c>
    </row>
    <row r="1072" spans="1:6" x14ac:dyDescent="0.3">
      <c r="A1072" s="4"/>
      <c r="B1072" s="1"/>
      <c r="C1072" s="2"/>
      <c r="D1072" s="2"/>
      <c r="E1072" s="5">
        <f t="shared" si="36"/>
        <v>0</v>
      </c>
      <c r="F1072" s="6">
        <f t="shared" si="37"/>
        <v>0</v>
      </c>
    </row>
    <row r="1073" spans="1:6" x14ac:dyDescent="0.3">
      <c r="A1073" s="4"/>
      <c r="B1073" s="1"/>
      <c r="C1073" s="2"/>
      <c r="D1073" s="2"/>
      <c r="E1073" s="5">
        <f t="shared" si="36"/>
        <v>0</v>
      </c>
      <c r="F1073" s="6">
        <f t="shared" si="37"/>
        <v>0</v>
      </c>
    </row>
    <row r="1074" spans="1:6" x14ac:dyDescent="0.3">
      <c r="A1074" s="4"/>
      <c r="B1074" s="1"/>
      <c r="C1074" s="2"/>
      <c r="D1074" s="2"/>
      <c r="E1074" s="5">
        <f t="shared" si="36"/>
        <v>0</v>
      </c>
      <c r="F1074" s="6">
        <f t="shared" si="37"/>
        <v>0</v>
      </c>
    </row>
    <row r="1075" spans="1:6" x14ac:dyDescent="0.3">
      <c r="A1075" s="4"/>
      <c r="B1075" s="1"/>
      <c r="C1075" s="2"/>
      <c r="D1075" s="2"/>
      <c r="E1075" s="5">
        <f t="shared" si="36"/>
        <v>0</v>
      </c>
      <c r="F1075" s="6">
        <f t="shared" si="37"/>
        <v>0</v>
      </c>
    </row>
    <row r="1076" spans="1:6" x14ac:dyDescent="0.3">
      <c r="A1076" s="4"/>
      <c r="B1076" s="1"/>
      <c r="C1076" s="2"/>
      <c r="D1076" s="2"/>
      <c r="E1076" s="5">
        <f t="shared" si="36"/>
        <v>0</v>
      </c>
      <c r="F1076" s="6">
        <f t="shared" si="37"/>
        <v>0</v>
      </c>
    </row>
    <row r="1077" spans="1:6" x14ac:dyDescent="0.3">
      <c r="A1077" s="4"/>
      <c r="B1077" s="1"/>
      <c r="C1077" s="2"/>
      <c r="D1077" s="2"/>
      <c r="E1077" s="5">
        <f t="shared" si="36"/>
        <v>0</v>
      </c>
      <c r="F1077" s="6">
        <f t="shared" si="37"/>
        <v>0</v>
      </c>
    </row>
    <row r="1078" spans="1:6" x14ac:dyDescent="0.3">
      <c r="A1078" s="4"/>
      <c r="B1078" s="1"/>
      <c r="C1078" s="2"/>
      <c r="D1078" s="2"/>
      <c r="E1078" s="5">
        <f t="shared" si="36"/>
        <v>0</v>
      </c>
      <c r="F1078" s="6">
        <f t="shared" si="37"/>
        <v>0</v>
      </c>
    </row>
    <row r="1079" spans="1:6" x14ac:dyDescent="0.3">
      <c r="A1079" s="4"/>
      <c r="B1079" s="1"/>
      <c r="C1079" s="2"/>
      <c r="D1079" s="2"/>
      <c r="E1079" s="5">
        <f t="shared" si="36"/>
        <v>0</v>
      </c>
      <c r="F1079" s="6">
        <f t="shared" si="37"/>
        <v>0</v>
      </c>
    </row>
    <row r="1080" spans="1:6" x14ac:dyDescent="0.3">
      <c r="A1080" s="4"/>
      <c r="B1080" s="1"/>
      <c r="C1080" s="2"/>
      <c r="D1080" s="2"/>
      <c r="E1080" s="5">
        <f t="shared" si="36"/>
        <v>0</v>
      </c>
      <c r="F1080" s="6">
        <f t="shared" si="37"/>
        <v>0</v>
      </c>
    </row>
    <row r="1081" spans="1:6" x14ac:dyDescent="0.3">
      <c r="A1081" s="4"/>
      <c r="B1081" s="1"/>
      <c r="C1081" s="2"/>
      <c r="D1081" s="2"/>
      <c r="E1081" s="5">
        <f t="shared" si="36"/>
        <v>0</v>
      </c>
      <c r="F1081" s="6">
        <f t="shared" si="37"/>
        <v>0</v>
      </c>
    </row>
    <row r="1082" spans="1:6" x14ac:dyDescent="0.3">
      <c r="A1082" s="4"/>
      <c r="B1082" s="1"/>
      <c r="C1082" s="2"/>
      <c r="D1082" s="2"/>
      <c r="E1082" s="5">
        <f t="shared" si="36"/>
        <v>0</v>
      </c>
      <c r="F1082" s="6">
        <f t="shared" si="37"/>
        <v>0</v>
      </c>
    </row>
    <row r="1083" spans="1:6" x14ac:dyDescent="0.3">
      <c r="A1083" s="4"/>
      <c r="B1083" s="1"/>
      <c r="C1083" s="2"/>
      <c r="D1083" s="2"/>
      <c r="E1083" s="5">
        <f t="shared" si="36"/>
        <v>0</v>
      </c>
      <c r="F1083" s="6">
        <f t="shared" si="37"/>
        <v>0</v>
      </c>
    </row>
    <row r="1084" spans="1:6" x14ac:dyDescent="0.3">
      <c r="A1084" s="4"/>
      <c r="B1084" s="1"/>
      <c r="C1084" s="2"/>
      <c r="D1084" s="2"/>
      <c r="E1084" s="5">
        <f t="shared" si="36"/>
        <v>0</v>
      </c>
      <c r="F1084" s="6">
        <f t="shared" si="37"/>
        <v>0</v>
      </c>
    </row>
    <row r="1085" spans="1:6" x14ac:dyDescent="0.3">
      <c r="A1085" s="4"/>
      <c r="B1085" s="1"/>
      <c r="C1085" s="2"/>
      <c r="D1085" s="2"/>
      <c r="E1085" s="5">
        <f t="shared" si="36"/>
        <v>0</v>
      </c>
      <c r="F1085" s="6">
        <f t="shared" si="37"/>
        <v>0</v>
      </c>
    </row>
    <row r="1086" spans="1:6" x14ac:dyDescent="0.3">
      <c r="A1086" s="4"/>
      <c r="B1086" s="1"/>
      <c r="C1086" s="2"/>
      <c r="D1086" s="2"/>
      <c r="E1086" s="5">
        <f t="shared" si="36"/>
        <v>0</v>
      </c>
      <c r="F1086" s="6">
        <f t="shared" si="37"/>
        <v>0</v>
      </c>
    </row>
    <row r="1087" spans="1:6" x14ac:dyDescent="0.3">
      <c r="A1087" s="4"/>
      <c r="B1087" s="1"/>
      <c r="C1087" s="2"/>
      <c r="D1087" s="2"/>
      <c r="E1087" s="5">
        <f t="shared" si="36"/>
        <v>0</v>
      </c>
      <c r="F1087" s="6">
        <f t="shared" si="37"/>
        <v>0</v>
      </c>
    </row>
    <row r="1088" spans="1:6" x14ac:dyDescent="0.3">
      <c r="A1088" s="4"/>
      <c r="B1088" s="1"/>
      <c r="C1088" s="2"/>
      <c r="D1088" s="2"/>
      <c r="E1088" s="5">
        <f t="shared" si="36"/>
        <v>0</v>
      </c>
      <c r="F1088" s="6">
        <f t="shared" si="37"/>
        <v>0</v>
      </c>
    </row>
    <row r="1089" spans="1:6" x14ac:dyDescent="0.3">
      <c r="A1089" s="4"/>
      <c r="B1089" s="1"/>
      <c r="C1089" s="2"/>
      <c r="D1089" s="2"/>
      <c r="E1089" s="5">
        <f t="shared" si="36"/>
        <v>0</v>
      </c>
      <c r="F1089" s="6">
        <f t="shared" si="37"/>
        <v>0</v>
      </c>
    </row>
    <row r="1090" spans="1:6" x14ac:dyDescent="0.3">
      <c r="A1090" s="4"/>
      <c r="B1090" s="1"/>
      <c r="C1090" s="2"/>
      <c r="D1090" s="2"/>
      <c r="E1090" s="5">
        <f t="shared" si="36"/>
        <v>0</v>
      </c>
      <c r="F1090" s="6">
        <f t="shared" si="37"/>
        <v>0</v>
      </c>
    </row>
    <row r="1091" spans="1:6" x14ac:dyDescent="0.3">
      <c r="A1091" s="4"/>
      <c r="B1091" s="1"/>
      <c r="C1091" s="2"/>
      <c r="D1091" s="2"/>
      <c r="E1091" s="5">
        <f t="shared" ref="E1091:E1154" si="38">D1091-C1091</f>
        <v>0</v>
      </c>
      <c r="F1091" s="6">
        <f t="shared" ref="F1091:F1154" si="39">ROUND(VALUE(E1091)*4,2)</f>
        <v>0</v>
      </c>
    </row>
    <row r="1092" spans="1:6" x14ac:dyDescent="0.3">
      <c r="A1092" s="4"/>
      <c r="B1092" s="1"/>
      <c r="C1092" s="2"/>
      <c r="D1092" s="2"/>
      <c r="E1092" s="5">
        <f t="shared" si="38"/>
        <v>0</v>
      </c>
      <c r="F1092" s="6">
        <f t="shared" si="39"/>
        <v>0</v>
      </c>
    </row>
    <row r="1093" spans="1:6" x14ac:dyDescent="0.3">
      <c r="A1093" s="4"/>
      <c r="B1093" s="1"/>
      <c r="C1093" s="2"/>
      <c r="D1093" s="2"/>
      <c r="E1093" s="5">
        <f t="shared" si="38"/>
        <v>0</v>
      </c>
      <c r="F1093" s="6">
        <f t="shared" si="39"/>
        <v>0</v>
      </c>
    </row>
    <row r="1094" spans="1:6" x14ac:dyDescent="0.3">
      <c r="A1094" s="4"/>
      <c r="B1094" s="1"/>
      <c r="C1094" s="2"/>
      <c r="D1094" s="2"/>
      <c r="E1094" s="5">
        <f t="shared" si="38"/>
        <v>0</v>
      </c>
      <c r="F1094" s="6">
        <f t="shared" si="39"/>
        <v>0</v>
      </c>
    </row>
    <row r="1095" spans="1:6" x14ac:dyDescent="0.3">
      <c r="A1095" s="4"/>
      <c r="B1095" s="1"/>
      <c r="C1095" s="2"/>
      <c r="D1095" s="2"/>
      <c r="E1095" s="5">
        <f t="shared" si="38"/>
        <v>0</v>
      </c>
      <c r="F1095" s="6">
        <f t="shared" si="39"/>
        <v>0</v>
      </c>
    </row>
    <row r="1096" spans="1:6" x14ac:dyDescent="0.3">
      <c r="A1096" s="4"/>
      <c r="B1096" s="1"/>
      <c r="C1096" s="2"/>
      <c r="D1096" s="2"/>
      <c r="E1096" s="5">
        <f t="shared" si="38"/>
        <v>0</v>
      </c>
      <c r="F1096" s="6">
        <f t="shared" si="39"/>
        <v>0</v>
      </c>
    </row>
    <row r="1097" spans="1:6" x14ac:dyDescent="0.3">
      <c r="A1097" s="4"/>
      <c r="B1097" s="1"/>
      <c r="C1097" s="2"/>
      <c r="D1097" s="2"/>
      <c r="E1097" s="5">
        <f t="shared" si="38"/>
        <v>0</v>
      </c>
      <c r="F1097" s="6">
        <f t="shared" si="39"/>
        <v>0</v>
      </c>
    </row>
    <row r="1098" spans="1:6" x14ac:dyDescent="0.3">
      <c r="A1098" s="4"/>
      <c r="B1098" s="1"/>
      <c r="C1098" s="2"/>
      <c r="D1098" s="2"/>
      <c r="E1098" s="5">
        <f t="shared" si="38"/>
        <v>0</v>
      </c>
      <c r="F1098" s="6">
        <f t="shared" si="39"/>
        <v>0</v>
      </c>
    </row>
    <row r="1099" spans="1:6" x14ac:dyDescent="0.3">
      <c r="A1099" s="4"/>
      <c r="B1099" s="1"/>
      <c r="C1099" s="2"/>
      <c r="D1099" s="2"/>
      <c r="E1099" s="5">
        <f t="shared" si="38"/>
        <v>0</v>
      </c>
      <c r="F1099" s="6">
        <f t="shared" si="39"/>
        <v>0</v>
      </c>
    </row>
    <row r="1100" spans="1:6" x14ac:dyDescent="0.3">
      <c r="A1100" s="4"/>
      <c r="B1100" s="1"/>
      <c r="C1100" s="2"/>
      <c r="D1100" s="2"/>
      <c r="E1100" s="5">
        <f t="shared" si="38"/>
        <v>0</v>
      </c>
      <c r="F1100" s="6">
        <f t="shared" si="39"/>
        <v>0</v>
      </c>
    </row>
    <row r="1101" spans="1:6" x14ac:dyDescent="0.3">
      <c r="A1101" s="4"/>
      <c r="B1101" s="1"/>
      <c r="C1101" s="2"/>
      <c r="D1101" s="2"/>
      <c r="E1101" s="5">
        <f t="shared" si="38"/>
        <v>0</v>
      </c>
      <c r="F1101" s="6">
        <f t="shared" si="39"/>
        <v>0</v>
      </c>
    </row>
    <row r="1102" spans="1:6" x14ac:dyDescent="0.3">
      <c r="A1102" s="4"/>
      <c r="B1102" s="1"/>
      <c r="C1102" s="2"/>
      <c r="D1102" s="2"/>
      <c r="E1102" s="5">
        <f t="shared" si="38"/>
        <v>0</v>
      </c>
      <c r="F1102" s="6">
        <f t="shared" si="39"/>
        <v>0</v>
      </c>
    </row>
    <row r="1103" spans="1:6" x14ac:dyDescent="0.3">
      <c r="A1103" s="4"/>
      <c r="B1103" s="1"/>
      <c r="C1103" s="2"/>
      <c r="D1103" s="2"/>
      <c r="E1103" s="5">
        <f t="shared" si="38"/>
        <v>0</v>
      </c>
      <c r="F1103" s="6">
        <f t="shared" si="39"/>
        <v>0</v>
      </c>
    </row>
    <row r="1104" spans="1:6" x14ac:dyDescent="0.3">
      <c r="A1104" s="4"/>
      <c r="B1104" s="1"/>
      <c r="C1104" s="2"/>
      <c r="D1104" s="2"/>
      <c r="E1104" s="5">
        <f t="shared" si="38"/>
        <v>0</v>
      </c>
      <c r="F1104" s="6">
        <f t="shared" si="39"/>
        <v>0</v>
      </c>
    </row>
    <row r="1105" spans="1:6" x14ac:dyDescent="0.3">
      <c r="A1105" s="4"/>
      <c r="B1105" s="1"/>
      <c r="C1105" s="2"/>
      <c r="D1105" s="2"/>
      <c r="E1105" s="5">
        <f t="shared" si="38"/>
        <v>0</v>
      </c>
      <c r="F1105" s="6">
        <f t="shared" si="39"/>
        <v>0</v>
      </c>
    </row>
    <row r="1106" spans="1:6" x14ac:dyDescent="0.3">
      <c r="A1106" s="4"/>
      <c r="B1106" s="1"/>
      <c r="C1106" s="2"/>
      <c r="D1106" s="2"/>
      <c r="E1106" s="5">
        <f t="shared" si="38"/>
        <v>0</v>
      </c>
      <c r="F1106" s="6">
        <f t="shared" si="39"/>
        <v>0</v>
      </c>
    </row>
    <row r="1107" spans="1:6" x14ac:dyDescent="0.3">
      <c r="A1107" s="4"/>
      <c r="B1107" s="1"/>
      <c r="C1107" s="2"/>
      <c r="D1107" s="2"/>
      <c r="E1107" s="5">
        <f t="shared" si="38"/>
        <v>0</v>
      </c>
      <c r="F1107" s="6">
        <f t="shared" si="39"/>
        <v>0</v>
      </c>
    </row>
    <row r="1108" spans="1:6" x14ac:dyDescent="0.3">
      <c r="A1108" s="4"/>
      <c r="B1108" s="1"/>
      <c r="C1108" s="2"/>
      <c r="D1108" s="2"/>
      <c r="E1108" s="5">
        <f t="shared" si="38"/>
        <v>0</v>
      </c>
      <c r="F1108" s="6">
        <f t="shared" si="39"/>
        <v>0</v>
      </c>
    </row>
    <row r="1109" spans="1:6" x14ac:dyDescent="0.3">
      <c r="A1109" s="4"/>
      <c r="B1109" s="1"/>
      <c r="C1109" s="2"/>
      <c r="D1109" s="2"/>
      <c r="E1109" s="5">
        <f t="shared" si="38"/>
        <v>0</v>
      </c>
      <c r="F1109" s="6">
        <f t="shared" si="39"/>
        <v>0</v>
      </c>
    </row>
    <row r="1110" spans="1:6" x14ac:dyDescent="0.3">
      <c r="A1110" s="4"/>
      <c r="B1110" s="1"/>
      <c r="C1110" s="2"/>
      <c r="D1110" s="2"/>
      <c r="E1110" s="5">
        <f t="shared" si="38"/>
        <v>0</v>
      </c>
      <c r="F1110" s="6">
        <f t="shared" si="39"/>
        <v>0</v>
      </c>
    </row>
    <row r="1111" spans="1:6" x14ac:dyDescent="0.3">
      <c r="A1111" s="4"/>
      <c r="B1111" s="1"/>
      <c r="C1111" s="2"/>
      <c r="D1111" s="2"/>
      <c r="E1111" s="5">
        <f t="shared" si="38"/>
        <v>0</v>
      </c>
      <c r="F1111" s="6">
        <f t="shared" si="39"/>
        <v>0</v>
      </c>
    </row>
    <row r="1112" spans="1:6" x14ac:dyDescent="0.3">
      <c r="A1112" s="4"/>
      <c r="B1112" s="1"/>
      <c r="C1112" s="2"/>
      <c r="D1112" s="2"/>
      <c r="E1112" s="5">
        <f t="shared" si="38"/>
        <v>0</v>
      </c>
      <c r="F1112" s="6">
        <f t="shared" si="39"/>
        <v>0</v>
      </c>
    </row>
    <row r="1113" spans="1:6" x14ac:dyDescent="0.3">
      <c r="A1113" s="4"/>
      <c r="B1113" s="1"/>
      <c r="C1113" s="2"/>
      <c r="D1113" s="2"/>
      <c r="E1113" s="5">
        <f t="shared" si="38"/>
        <v>0</v>
      </c>
      <c r="F1113" s="6">
        <f t="shared" si="39"/>
        <v>0</v>
      </c>
    </row>
    <row r="1114" spans="1:6" x14ac:dyDescent="0.3">
      <c r="A1114" s="4"/>
      <c r="B1114" s="1"/>
      <c r="C1114" s="2"/>
      <c r="D1114" s="2"/>
      <c r="E1114" s="5">
        <f t="shared" si="38"/>
        <v>0</v>
      </c>
      <c r="F1114" s="6">
        <f t="shared" si="39"/>
        <v>0</v>
      </c>
    </row>
    <row r="1115" spans="1:6" x14ac:dyDescent="0.3">
      <c r="A1115" s="4"/>
      <c r="B1115" s="1"/>
      <c r="C1115" s="2"/>
      <c r="D1115" s="2"/>
      <c r="E1115" s="5">
        <f t="shared" si="38"/>
        <v>0</v>
      </c>
      <c r="F1115" s="6">
        <f t="shared" si="39"/>
        <v>0</v>
      </c>
    </row>
    <row r="1116" spans="1:6" x14ac:dyDescent="0.3">
      <c r="A1116" s="4"/>
      <c r="B1116" s="1"/>
      <c r="C1116" s="2"/>
      <c r="D1116" s="2"/>
      <c r="E1116" s="5">
        <f t="shared" si="38"/>
        <v>0</v>
      </c>
      <c r="F1116" s="6">
        <f t="shared" si="39"/>
        <v>0</v>
      </c>
    </row>
    <row r="1117" spans="1:6" x14ac:dyDescent="0.3">
      <c r="A1117" s="4"/>
      <c r="B1117" s="1"/>
      <c r="C1117" s="2"/>
      <c r="D1117" s="2"/>
      <c r="E1117" s="5">
        <f t="shared" si="38"/>
        <v>0</v>
      </c>
      <c r="F1117" s="6">
        <f t="shared" si="39"/>
        <v>0</v>
      </c>
    </row>
    <row r="1118" spans="1:6" x14ac:dyDescent="0.3">
      <c r="A1118" s="4"/>
      <c r="B1118" s="1"/>
      <c r="C1118" s="2"/>
      <c r="D1118" s="2"/>
      <c r="E1118" s="5">
        <f t="shared" si="38"/>
        <v>0</v>
      </c>
      <c r="F1118" s="6">
        <f t="shared" si="39"/>
        <v>0</v>
      </c>
    </row>
    <row r="1119" spans="1:6" x14ac:dyDescent="0.3">
      <c r="A1119" s="4"/>
      <c r="B1119" s="1"/>
      <c r="C1119" s="2"/>
      <c r="D1119" s="2"/>
      <c r="E1119" s="5">
        <f t="shared" si="38"/>
        <v>0</v>
      </c>
      <c r="F1119" s="6">
        <f t="shared" si="39"/>
        <v>0</v>
      </c>
    </row>
    <row r="1120" spans="1:6" x14ac:dyDescent="0.3">
      <c r="A1120" s="4"/>
      <c r="B1120" s="1"/>
      <c r="C1120" s="2"/>
      <c r="D1120" s="2"/>
      <c r="E1120" s="5">
        <f t="shared" si="38"/>
        <v>0</v>
      </c>
      <c r="F1120" s="6">
        <f t="shared" si="39"/>
        <v>0</v>
      </c>
    </row>
    <row r="1121" spans="1:6" x14ac:dyDescent="0.3">
      <c r="A1121" s="4"/>
      <c r="B1121" s="1"/>
      <c r="C1121" s="2"/>
      <c r="D1121" s="2"/>
      <c r="E1121" s="5">
        <f t="shared" si="38"/>
        <v>0</v>
      </c>
      <c r="F1121" s="6">
        <f t="shared" si="39"/>
        <v>0</v>
      </c>
    </row>
    <row r="1122" spans="1:6" x14ac:dyDescent="0.3">
      <c r="A1122" s="4"/>
      <c r="B1122" s="1"/>
      <c r="C1122" s="2"/>
      <c r="D1122" s="2"/>
      <c r="E1122" s="5">
        <f t="shared" si="38"/>
        <v>0</v>
      </c>
      <c r="F1122" s="6">
        <f t="shared" si="39"/>
        <v>0</v>
      </c>
    </row>
    <row r="1123" spans="1:6" x14ac:dyDescent="0.3">
      <c r="A1123" s="4"/>
      <c r="B1123" s="1"/>
      <c r="C1123" s="2"/>
      <c r="D1123" s="2"/>
      <c r="E1123" s="5">
        <f t="shared" si="38"/>
        <v>0</v>
      </c>
      <c r="F1123" s="6">
        <f t="shared" si="39"/>
        <v>0</v>
      </c>
    </row>
    <row r="1124" spans="1:6" x14ac:dyDescent="0.3">
      <c r="A1124" s="4"/>
      <c r="B1124" s="1"/>
      <c r="C1124" s="2"/>
      <c r="D1124" s="2"/>
      <c r="E1124" s="5">
        <f t="shared" si="38"/>
        <v>0</v>
      </c>
      <c r="F1124" s="6">
        <f t="shared" si="39"/>
        <v>0</v>
      </c>
    </row>
    <row r="1125" spans="1:6" x14ac:dyDescent="0.3">
      <c r="A1125" s="4"/>
      <c r="B1125" s="1"/>
      <c r="C1125" s="2"/>
      <c r="D1125" s="2"/>
      <c r="E1125" s="5">
        <f t="shared" si="38"/>
        <v>0</v>
      </c>
      <c r="F1125" s="6">
        <f t="shared" si="39"/>
        <v>0</v>
      </c>
    </row>
    <row r="1126" spans="1:6" x14ac:dyDescent="0.3">
      <c r="A1126" s="4"/>
      <c r="B1126" s="1"/>
      <c r="C1126" s="2"/>
      <c r="D1126" s="2"/>
      <c r="E1126" s="5">
        <f t="shared" si="38"/>
        <v>0</v>
      </c>
      <c r="F1126" s="6">
        <f t="shared" si="39"/>
        <v>0</v>
      </c>
    </row>
    <row r="1127" spans="1:6" x14ac:dyDescent="0.3">
      <c r="A1127" s="4"/>
      <c r="B1127" s="1"/>
      <c r="C1127" s="2"/>
      <c r="D1127" s="2"/>
      <c r="E1127" s="5">
        <f t="shared" si="38"/>
        <v>0</v>
      </c>
      <c r="F1127" s="6">
        <f t="shared" si="39"/>
        <v>0</v>
      </c>
    </row>
    <row r="1128" spans="1:6" x14ac:dyDescent="0.3">
      <c r="A1128" s="4"/>
      <c r="B1128" s="1"/>
      <c r="C1128" s="2"/>
      <c r="D1128" s="2"/>
      <c r="E1128" s="5">
        <f t="shared" si="38"/>
        <v>0</v>
      </c>
      <c r="F1128" s="6">
        <f t="shared" si="39"/>
        <v>0</v>
      </c>
    </row>
    <row r="1129" spans="1:6" x14ac:dyDescent="0.3">
      <c r="A1129" s="4"/>
      <c r="B1129" s="1"/>
      <c r="C1129" s="2"/>
      <c r="D1129" s="2"/>
      <c r="E1129" s="5">
        <f t="shared" si="38"/>
        <v>0</v>
      </c>
      <c r="F1129" s="6">
        <f t="shared" si="39"/>
        <v>0</v>
      </c>
    </row>
    <row r="1130" spans="1:6" x14ac:dyDescent="0.3">
      <c r="A1130" s="4"/>
      <c r="B1130" s="1"/>
      <c r="C1130" s="2"/>
      <c r="D1130" s="2"/>
      <c r="E1130" s="5">
        <f t="shared" si="38"/>
        <v>0</v>
      </c>
      <c r="F1130" s="6">
        <f t="shared" si="39"/>
        <v>0</v>
      </c>
    </row>
    <row r="1131" spans="1:6" x14ac:dyDescent="0.3">
      <c r="A1131" s="4"/>
      <c r="B1131" s="1"/>
      <c r="C1131" s="2"/>
      <c r="D1131" s="2"/>
      <c r="E1131" s="5">
        <f t="shared" si="38"/>
        <v>0</v>
      </c>
      <c r="F1131" s="6">
        <f t="shared" si="39"/>
        <v>0</v>
      </c>
    </row>
    <row r="1132" spans="1:6" x14ac:dyDescent="0.3">
      <c r="A1132" s="4"/>
      <c r="B1132" s="1"/>
      <c r="C1132" s="2"/>
      <c r="D1132" s="2"/>
      <c r="E1132" s="5">
        <f t="shared" si="38"/>
        <v>0</v>
      </c>
      <c r="F1132" s="6">
        <f t="shared" si="39"/>
        <v>0</v>
      </c>
    </row>
    <row r="1133" spans="1:6" x14ac:dyDescent="0.3">
      <c r="A1133" s="4"/>
      <c r="B1133" s="1"/>
      <c r="C1133" s="2"/>
      <c r="D1133" s="2"/>
      <c r="E1133" s="5">
        <f t="shared" si="38"/>
        <v>0</v>
      </c>
      <c r="F1133" s="6">
        <f t="shared" si="39"/>
        <v>0</v>
      </c>
    </row>
    <row r="1134" spans="1:6" x14ac:dyDescent="0.3">
      <c r="A1134" s="4"/>
      <c r="B1134" s="1"/>
      <c r="C1134" s="2"/>
      <c r="D1134" s="2"/>
      <c r="E1134" s="5">
        <f t="shared" si="38"/>
        <v>0</v>
      </c>
      <c r="F1134" s="6">
        <f t="shared" si="39"/>
        <v>0</v>
      </c>
    </row>
    <row r="1135" spans="1:6" x14ac:dyDescent="0.3">
      <c r="A1135" s="4"/>
      <c r="B1135" s="1"/>
      <c r="C1135" s="2"/>
      <c r="D1135" s="2"/>
      <c r="E1135" s="5">
        <f t="shared" si="38"/>
        <v>0</v>
      </c>
      <c r="F1135" s="6">
        <f t="shared" si="39"/>
        <v>0</v>
      </c>
    </row>
    <row r="1136" spans="1:6" x14ac:dyDescent="0.3">
      <c r="A1136" s="4"/>
      <c r="B1136" s="1"/>
      <c r="C1136" s="2"/>
      <c r="D1136" s="2"/>
      <c r="E1136" s="5">
        <f t="shared" si="38"/>
        <v>0</v>
      </c>
      <c r="F1136" s="6">
        <f t="shared" si="39"/>
        <v>0</v>
      </c>
    </row>
    <row r="1137" spans="1:6" x14ac:dyDescent="0.3">
      <c r="A1137" s="4"/>
      <c r="B1137" s="1"/>
      <c r="C1137" s="2"/>
      <c r="D1137" s="2"/>
      <c r="E1137" s="5">
        <f t="shared" si="38"/>
        <v>0</v>
      </c>
      <c r="F1137" s="6">
        <f t="shared" si="39"/>
        <v>0</v>
      </c>
    </row>
    <row r="1138" spans="1:6" x14ac:dyDescent="0.3">
      <c r="A1138" s="4"/>
      <c r="B1138" s="1"/>
      <c r="C1138" s="2"/>
      <c r="D1138" s="2"/>
      <c r="E1138" s="5">
        <f t="shared" si="38"/>
        <v>0</v>
      </c>
      <c r="F1138" s="6">
        <f t="shared" si="39"/>
        <v>0</v>
      </c>
    </row>
    <row r="1139" spans="1:6" x14ac:dyDescent="0.3">
      <c r="A1139" s="4"/>
      <c r="B1139" s="1"/>
      <c r="C1139" s="2"/>
      <c r="D1139" s="2"/>
      <c r="E1139" s="5">
        <f t="shared" si="38"/>
        <v>0</v>
      </c>
      <c r="F1139" s="6">
        <f t="shared" si="39"/>
        <v>0</v>
      </c>
    </row>
    <row r="1140" spans="1:6" x14ac:dyDescent="0.3">
      <c r="A1140" s="4"/>
      <c r="B1140" s="1"/>
      <c r="C1140" s="2"/>
      <c r="D1140" s="2"/>
      <c r="E1140" s="5">
        <f t="shared" si="38"/>
        <v>0</v>
      </c>
      <c r="F1140" s="6">
        <f t="shared" si="39"/>
        <v>0</v>
      </c>
    </row>
    <row r="1141" spans="1:6" x14ac:dyDescent="0.3">
      <c r="A1141" s="4"/>
      <c r="B1141" s="1"/>
      <c r="C1141" s="2"/>
      <c r="D1141" s="2"/>
      <c r="E1141" s="5">
        <f t="shared" si="38"/>
        <v>0</v>
      </c>
      <c r="F1141" s="6">
        <f t="shared" si="39"/>
        <v>0</v>
      </c>
    </row>
    <row r="1142" spans="1:6" x14ac:dyDescent="0.3">
      <c r="A1142" s="4"/>
      <c r="B1142" s="1"/>
      <c r="C1142" s="2"/>
      <c r="D1142" s="2"/>
      <c r="E1142" s="5">
        <f t="shared" si="38"/>
        <v>0</v>
      </c>
      <c r="F1142" s="6">
        <f t="shared" si="39"/>
        <v>0</v>
      </c>
    </row>
    <row r="1143" spans="1:6" x14ac:dyDescent="0.3">
      <c r="A1143" s="4"/>
      <c r="B1143" s="1"/>
      <c r="C1143" s="2"/>
      <c r="D1143" s="2"/>
      <c r="E1143" s="5">
        <f t="shared" si="38"/>
        <v>0</v>
      </c>
      <c r="F1143" s="6">
        <f t="shared" si="39"/>
        <v>0</v>
      </c>
    </row>
    <row r="1144" spans="1:6" x14ac:dyDescent="0.3">
      <c r="A1144" s="4"/>
      <c r="B1144" s="1"/>
      <c r="C1144" s="2"/>
      <c r="D1144" s="2"/>
      <c r="E1144" s="5">
        <f t="shared" si="38"/>
        <v>0</v>
      </c>
      <c r="F1144" s="6">
        <f t="shared" si="39"/>
        <v>0</v>
      </c>
    </row>
    <row r="1145" spans="1:6" x14ac:dyDescent="0.3">
      <c r="A1145" s="4"/>
      <c r="B1145" s="1"/>
      <c r="C1145" s="2"/>
      <c r="D1145" s="2"/>
      <c r="E1145" s="5">
        <f t="shared" si="38"/>
        <v>0</v>
      </c>
      <c r="F1145" s="6">
        <f t="shared" si="39"/>
        <v>0</v>
      </c>
    </row>
    <row r="1146" spans="1:6" x14ac:dyDescent="0.3">
      <c r="A1146" s="4"/>
      <c r="B1146" s="1"/>
      <c r="C1146" s="2"/>
      <c r="D1146" s="2"/>
      <c r="E1146" s="5">
        <f t="shared" si="38"/>
        <v>0</v>
      </c>
      <c r="F1146" s="6">
        <f t="shared" si="39"/>
        <v>0</v>
      </c>
    </row>
    <row r="1147" spans="1:6" x14ac:dyDescent="0.3">
      <c r="A1147" s="4"/>
      <c r="B1147" s="1"/>
      <c r="C1147" s="2"/>
      <c r="D1147" s="2"/>
      <c r="E1147" s="5">
        <f t="shared" si="38"/>
        <v>0</v>
      </c>
      <c r="F1147" s="6">
        <f t="shared" si="39"/>
        <v>0</v>
      </c>
    </row>
    <row r="1148" spans="1:6" x14ac:dyDescent="0.3">
      <c r="A1148" s="4"/>
      <c r="B1148" s="1"/>
      <c r="C1148" s="2"/>
      <c r="D1148" s="2"/>
      <c r="E1148" s="5">
        <f t="shared" si="38"/>
        <v>0</v>
      </c>
      <c r="F1148" s="6">
        <f t="shared" si="39"/>
        <v>0</v>
      </c>
    </row>
    <row r="1149" spans="1:6" x14ac:dyDescent="0.3">
      <c r="A1149" s="4"/>
      <c r="B1149" s="1"/>
      <c r="C1149" s="2"/>
      <c r="D1149" s="2"/>
      <c r="E1149" s="5">
        <f t="shared" si="38"/>
        <v>0</v>
      </c>
      <c r="F1149" s="6">
        <f t="shared" si="39"/>
        <v>0</v>
      </c>
    </row>
    <row r="1150" spans="1:6" x14ac:dyDescent="0.3">
      <c r="A1150" s="4"/>
      <c r="B1150" s="1"/>
      <c r="C1150" s="2"/>
      <c r="D1150" s="2"/>
      <c r="E1150" s="5">
        <f t="shared" si="38"/>
        <v>0</v>
      </c>
      <c r="F1150" s="6">
        <f t="shared" si="39"/>
        <v>0</v>
      </c>
    </row>
    <row r="1151" spans="1:6" x14ac:dyDescent="0.3">
      <c r="A1151" s="4"/>
      <c r="B1151" s="1"/>
      <c r="C1151" s="2"/>
      <c r="D1151" s="2"/>
      <c r="E1151" s="5">
        <f t="shared" si="38"/>
        <v>0</v>
      </c>
      <c r="F1151" s="6">
        <f t="shared" si="39"/>
        <v>0</v>
      </c>
    </row>
    <row r="1152" spans="1:6" x14ac:dyDescent="0.3">
      <c r="A1152" s="4"/>
      <c r="B1152" s="1"/>
      <c r="C1152" s="2"/>
      <c r="D1152" s="2"/>
      <c r="E1152" s="5">
        <f t="shared" si="38"/>
        <v>0</v>
      </c>
      <c r="F1152" s="6">
        <f t="shared" si="39"/>
        <v>0</v>
      </c>
    </row>
    <row r="1153" spans="1:6" x14ac:dyDescent="0.3">
      <c r="A1153" s="4"/>
      <c r="B1153" s="1"/>
      <c r="C1153" s="2"/>
      <c r="D1153" s="2"/>
      <c r="E1153" s="5">
        <f t="shared" si="38"/>
        <v>0</v>
      </c>
      <c r="F1153" s="6">
        <f t="shared" si="39"/>
        <v>0</v>
      </c>
    </row>
    <row r="1154" spans="1:6" x14ac:dyDescent="0.3">
      <c r="A1154" s="4"/>
      <c r="B1154" s="1"/>
      <c r="C1154" s="2"/>
      <c r="D1154" s="2"/>
      <c r="E1154" s="5">
        <f t="shared" si="38"/>
        <v>0</v>
      </c>
      <c r="F1154" s="6">
        <f t="shared" si="39"/>
        <v>0</v>
      </c>
    </row>
    <row r="1155" spans="1:6" x14ac:dyDescent="0.3">
      <c r="A1155" s="4"/>
      <c r="B1155" s="1"/>
      <c r="C1155" s="2"/>
      <c r="D1155" s="2"/>
      <c r="E1155" s="5">
        <f t="shared" ref="E1155:E1218" si="40">D1155-C1155</f>
        <v>0</v>
      </c>
      <c r="F1155" s="6">
        <f t="shared" ref="F1155:F1218" si="41">ROUND(VALUE(E1155)*4,2)</f>
        <v>0</v>
      </c>
    </row>
    <row r="1156" spans="1:6" x14ac:dyDescent="0.3">
      <c r="A1156" s="4"/>
      <c r="B1156" s="1"/>
      <c r="C1156" s="2"/>
      <c r="D1156" s="2"/>
      <c r="E1156" s="5">
        <f t="shared" si="40"/>
        <v>0</v>
      </c>
      <c r="F1156" s="6">
        <f t="shared" si="41"/>
        <v>0</v>
      </c>
    </row>
    <row r="1157" spans="1:6" x14ac:dyDescent="0.3">
      <c r="A1157" s="4"/>
      <c r="B1157" s="1"/>
      <c r="C1157" s="2"/>
      <c r="D1157" s="2"/>
      <c r="E1157" s="5">
        <f t="shared" si="40"/>
        <v>0</v>
      </c>
      <c r="F1157" s="6">
        <f t="shared" si="41"/>
        <v>0</v>
      </c>
    </row>
    <row r="1158" spans="1:6" x14ac:dyDescent="0.3">
      <c r="A1158" s="4"/>
      <c r="B1158" s="1"/>
      <c r="C1158" s="2"/>
      <c r="D1158" s="2"/>
      <c r="E1158" s="5">
        <f t="shared" si="40"/>
        <v>0</v>
      </c>
      <c r="F1158" s="6">
        <f t="shared" si="41"/>
        <v>0</v>
      </c>
    </row>
    <row r="1159" spans="1:6" x14ac:dyDescent="0.3">
      <c r="A1159" s="4"/>
      <c r="B1159" s="1"/>
      <c r="C1159" s="2"/>
      <c r="D1159" s="2"/>
      <c r="E1159" s="5">
        <f t="shared" si="40"/>
        <v>0</v>
      </c>
      <c r="F1159" s="6">
        <f t="shared" si="41"/>
        <v>0</v>
      </c>
    </row>
    <row r="1160" spans="1:6" x14ac:dyDescent="0.3">
      <c r="A1160" s="4"/>
      <c r="B1160" s="1"/>
      <c r="C1160" s="2"/>
      <c r="D1160" s="2"/>
      <c r="E1160" s="5">
        <f t="shared" si="40"/>
        <v>0</v>
      </c>
      <c r="F1160" s="6">
        <f t="shared" si="41"/>
        <v>0</v>
      </c>
    </row>
    <row r="1161" spans="1:6" x14ac:dyDescent="0.3">
      <c r="A1161" s="4"/>
      <c r="B1161" s="1"/>
      <c r="C1161" s="2"/>
      <c r="D1161" s="2"/>
      <c r="E1161" s="5">
        <f t="shared" si="40"/>
        <v>0</v>
      </c>
      <c r="F1161" s="6">
        <f t="shared" si="41"/>
        <v>0</v>
      </c>
    </row>
    <row r="1162" spans="1:6" x14ac:dyDescent="0.3">
      <c r="A1162" s="4"/>
      <c r="B1162" s="1"/>
      <c r="C1162" s="2"/>
      <c r="D1162" s="2"/>
      <c r="E1162" s="5">
        <f t="shared" si="40"/>
        <v>0</v>
      </c>
      <c r="F1162" s="6">
        <f t="shared" si="41"/>
        <v>0</v>
      </c>
    </row>
    <row r="1163" spans="1:6" x14ac:dyDescent="0.3">
      <c r="A1163" s="4"/>
      <c r="B1163" s="1"/>
      <c r="C1163" s="2"/>
      <c r="D1163" s="2"/>
      <c r="E1163" s="5">
        <f t="shared" si="40"/>
        <v>0</v>
      </c>
      <c r="F1163" s="6">
        <f t="shared" si="41"/>
        <v>0</v>
      </c>
    </row>
    <row r="1164" spans="1:6" x14ac:dyDescent="0.3">
      <c r="A1164" s="4"/>
      <c r="B1164" s="1"/>
      <c r="C1164" s="2"/>
      <c r="D1164" s="2"/>
      <c r="E1164" s="5">
        <f t="shared" si="40"/>
        <v>0</v>
      </c>
      <c r="F1164" s="6">
        <f t="shared" si="41"/>
        <v>0</v>
      </c>
    </row>
    <row r="1165" spans="1:6" x14ac:dyDescent="0.3">
      <c r="A1165" s="4"/>
      <c r="B1165" s="1"/>
      <c r="C1165" s="2"/>
      <c r="D1165" s="2"/>
      <c r="E1165" s="5">
        <f t="shared" si="40"/>
        <v>0</v>
      </c>
      <c r="F1165" s="6">
        <f t="shared" si="41"/>
        <v>0</v>
      </c>
    </row>
    <row r="1166" spans="1:6" x14ac:dyDescent="0.3">
      <c r="A1166" s="4"/>
      <c r="B1166" s="1"/>
      <c r="C1166" s="2"/>
      <c r="D1166" s="2"/>
      <c r="E1166" s="5">
        <f t="shared" si="40"/>
        <v>0</v>
      </c>
      <c r="F1166" s="6">
        <f t="shared" si="41"/>
        <v>0</v>
      </c>
    </row>
    <row r="1167" spans="1:6" x14ac:dyDescent="0.3">
      <c r="A1167" s="4"/>
      <c r="B1167" s="1"/>
      <c r="C1167" s="2"/>
      <c r="D1167" s="2"/>
      <c r="E1167" s="5">
        <f t="shared" si="40"/>
        <v>0</v>
      </c>
      <c r="F1167" s="6">
        <f t="shared" si="41"/>
        <v>0</v>
      </c>
    </row>
    <row r="1168" spans="1:6" x14ac:dyDescent="0.3">
      <c r="A1168" s="4"/>
      <c r="B1168" s="1"/>
      <c r="C1168" s="2"/>
      <c r="D1168" s="2"/>
      <c r="E1168" s="5">
        <f t="shared" si="40"/>
        <v>0</v>
      </c>
      <c r="F1168" s="6">
        <f t="shared" si="41"/>
        <v>0</v>
      </c>
    </row>
    <row r="1169" spans="1:6" x14ac:dyDescent="0.3">
      <c r="A1169" s="4"/>
      <c r="B1169" s="1"/>
      <c r="C1169" s="2"/>
      <c r="D1169" s="2"/>
      <c r="E1169" s="5">
        <f t="shared" si="40"/>
        <v>0</v>
      </c>
      <c r="F1169" s="6">
        <f t="shared" si="41"/>
        <v>0</v>
      </c>
    </row>
    <row r="1170" spans="1:6" x14ac:dyDescent="0.3">
      <c r="A1170" s="4"/>
      <c r="B1170" s="1"/>
      <c r="C1170" s="2"/>
      <c r="D1170" s="2"/>
      <c r="E1170" s="5">
        <f t="shared" si="40"/>
        <v>0</v>
      </c>
      <c r="F1170" s="6">
        <f t="shared" si="41"/>
        <v>0</v>
      </c>
    </row>
    <row r="1171" spans="1:6" x14ac:dyDescent="0.3">
      <c r="A1171" s="4"/>
      <c r="B1171" s="1"/>
      <c r="C1171" s="2"/>
      <c r="D1171" s="2"/>
      <c r="E1171" s="5">
        <f t="shared" si="40"/>
        <v>0</v>
      </c>
      <c r="F1171" s="6">
        <f t="shared" si="41"/>
        <v>0</v>
      </c>
    </row>
    <row r="1172" spans="1:6" x14ac:dyDescent="0.3">
      <c r="A1172" s="4"/>
      <c r="B1172" s="1"/>
      <c r="C1172" s="2"/>
      <c r="D1172" s="2"/>
      <c r="E1172" s="5">
        <f t="shared" si="40"/>
        <v>0</v>
      </c>
      <c r="F1172" s="6">
        <f t="shared" si="41"/>
        <v>0</v>
      </c>
    </row>
    <row r="1173" spans="1:6" x14ac:dyDescent="0.3">
      <c r="A1173" s="4"/>
      <c r="B1173" s="1"/>
      <c r="C1173" s="2"/>
      <c r="D1173" s="2"/>
      <c r="E1173" s="5">
        <f t="shared" si="40"/>
        <v>0</v>
      </c>
      <c r="F1173" s="6">
        <f t="shared" si="41"/>
        <v>0</v>
      </c>
    </row>
    <row r="1174" spans="1:6" x14ac:dyDescent="0.3">
      <c r="A1174" s="4"/>
      <c r="B1174" s="1"/>
      <c r="C1174" s="2"/>
      <c r="D1174" s="2"/>
      <c r="E1174" s="5">
        <f t="shared" si="40"/>
        <v>0</v>
      </c>
      <c r="F1174" s="6">
        <f t="shared" si="41"/>
        <v>0</v>
      </c>
    </row>
    <row r="1175" spans="1:6" x14ac:dyDescent="0.3">
      <c r="A1175" s="4"/>
      <c r="B1175" s="1"/>
      <c r="C1175" s="2"/>
      <c r="D1175" s="2"/>
      <c r="E1175" s="5">
        <f t="shared" si="40"/>
        <v>0</v>
      </c>
      <c r="F1175" s="6">
        <f t="shared" si="41"/>
        <v>0</v>
      </c>
    </row>
    <row r="1176" spans="1:6" x14ac:dyDescent="0.3">
      <c r="A1176" s="4"/>
      <c r="B1176" s="1"/>
      <c r="C1176" s="2"/>
      <c r="D1176" s="2"/>
      <c r="E1176" s="5">
        <f t="shared" si="40"/>
        <v>0</v>
      </c>
      <c r="F1176" s="6">
        <f t="shared" si="41"/>
        <v>0</v>
      </c>
    </row>
    <row r="1177" spans="1:6" x14ac:dyDescent="0.3">
      <c r="A1177" s="4"/>
      <c r="B1177" s="1"/>
      <c r="C1177" s="2"/>
      <c r="D1177" s="2"/>
      <c r="E1177" s="5">
        <f t="shared" si="40"/>
        <v>0</v>
      </c>
      <c r="F1177" s="6">
        <f t="shared" si="41"/>
        <v>0</v>
      </c>
    </row>
    <row r="1178" spans="1:6" x14ac:dyDescent="0.3">
      <c r="A1178" s="4"/>
      <c r="B1178" s="1"/>
      <c r="C1178" s="2"/>
      <c r="D1178" s="2"/>
      <c r="E1178" s="5">
        <f t="shared" si="40"/>
        <v>0</v>
      </c>
      <c r="F1178" s="6">
        <f t="shared" si="41"/>
        <v>0</v>
      </c>
    </row>
    <row r="1179" spans="1:6" x14ac:dyDescent="0.3">
      <c r="A1179" s="4"/>
      <c r="B1179" s="1"/>
      <c r="C1179" s="2"/>
      <c r="D1179" s="2"/>
      <c r="E1179" s="5">
        <f t="shared" si="40"/>
        <v>0</v>
      </c>
      <c r="F1179" s="6">
        <f t="shared" si="41"/>
        <v>0</v>
      </c>
    </row>
    <row r="1180" spans="1:6" x14ac:dyDescent="0.3">
      <c r="A1180" s="4"/>
      <c r="B1180" s="1"/>
      <c r="C1180" s="2"/>
      <c r="D1180" s="2"/>
      <c r="E1180" s="5">
        <f t="shared" si="40"/>
        <v>0</v>
      </c>
      <c r="F1180" s="6">
        <f t="shared" si="41"/>
        <v>0</v>
      </c>
    </row>
    <row r="1181" spans="1:6" x14ac:dyDescent="0.3">
      <c r="A1181" s="4"/>
      <c r="B1181" s="1"/>
      <c r="C1181" s="2"/>
      <c r="D1181" s="2"/>
      <c r="E1181" s="5">
        <f t="shared" si="40"/>
        <v>0</v>
      </c>
      <c r="F1181" s="6">
        <f t="shared" si="41"/>
        <v>0</v>
      </c>
    </row>
    <row r="1182" spans="1:6" x14ac:dyDescent="0.3">
      <c r="A1182" s="4"/>
      <c r="B1182" s="1"/>
      <c r="C1182" s="2"/>
      <c r="D1182" s="2"/>
      <c r="E1182" s="5">
        <f t="shared" si="40"/>
        <v>0</v>
      </c>
      <c r="F1182" s="6">
        <f t="shared" si="41"/>
        <v>0</v>
      </c>
    </row>
    <row r="1183" spans="1:6" x14ac:dyDescent="0.3">
      <c r="A1183" s="4"/>
      <c r="B1183" s="1"/>
      <c r="C1183" s="2"/>
      <c r="D1183" s="2"/>
      <c r="E1183" s="5">
        <f t="shared" si="40"/>
        <v>0</v>
      </c>
      <c r="F1183" s="6">
        <f t="shared" si="41"/>
        <v>0</v>
      </c>
    </row>
    <row r="1184" spans="1:6" x14ac:dyDescent="0.3">
      <c r="A1184" s="4"/>
      <c r="B1184" s="1"/>
      <c r="C1184" s="2"/>
      <c r="D1184" s="2"/>
      <c r="E1184" s="5">
        <f t="shared" si="40"/>
        <v>0</v>
      </c>
      <c r="F1184" s="6">
        <f t="shared" si="41"/>
        <v>0</v>
      </c>
    </row>
    <row r="1185" spans="1:6" x14ac:dyDescent="0.3">
      <c r="A1185" s="4"/>
      <c r="B1185" s="1"/>
      <c r="C1185" s="2"/>
      <c r="D1185" s="2"/>
      <c r="E1185" s="5">
        <f t="shared" si="40"/>
        <v>0</v>
      </c>
      <c r="F1185" s="6">
        <f t="shared" si="41"/>
        <v>0</v>
      </c>
    </row>
    <row r="1186" spans="1:6" x14ac:dyDescent="0.3">
      <c r="A1186" s="4"/>
      <c r="B1186" s="1"/>
      <c r="C1186" s="2"/>
      <c r="D1186" s="2"/>
      <c r="E1186" s="5">
        <f t="shared" si="40"/>
        <v>0</v>
      </c>
      <c r="F1186" s="6">
        <f t="shared" si="41"/>
        <v>0</v>
      </c>
    </row>
    <row r="1187" spans="1:6" x14ac:dyDescent="0.3">
      <c r="A1187" s="4"/>
      <c r="B1187" s="1"/>
      <c r="C1187" s="2"/>
      <c r="D1187" s="2"/>
      <c r="E1187" s="5">
        <f t="shared" si="40"/>
        <v>0</v>
      </c>
      <c r="F1187" s="6">
        <f t="shared" si="41"/>
        <v>0</v>
      </c>
    </row>
    <row r="1188" spans="1:6" x14ac:dyDescent="0.3">
      <c r="A1188" s="4"/>
      <c r="B1188" s="1"/>
      <c r="C1188" s="2"/>
      <c r="D1188" s="2"/>
      <c r="E1188" s="5">
        <f t="shared" si="40"/>
        <v>0</v>
      </c>
      <c r="F1188" s="6">
        <f t="shared" si="41"/>
        <v>0</v>
      </c>
    </row>
    <row r="1189" spans="1:6" x14ac:dyDescent="0.3">
      <c r="A1189" s="4"/>
      <c r="B1189" s="1"/>
      <c r="C1189" s="2"/>
      <c r="D1189" s="2"/>
      <c r="E1189" s="5">
        <f t="shared" si="40"/>
        <v>0</v>
      </c>
      <c r="F1189" s="6">
        <f t="shared" si="41"/>
        <v>0</v>
      </c>
    </row>
    <row r="1190" spans="1:6" x14ac:dyDescent="0.3">
      <c r="A1190" s="4"/>
      <c r="B1190" s="1"/>
      <c r="C1190" s="2"/>
      <c r="D1190" s="2"/>
      <c r="E1190" s="5">
        <f t="shared" si="40"/>
        <v>0</v>
      </c>
      <c r="F1190" s="6">
        <f t="shared" si="41"/>
        <v>0</v>
      </c>
    </row>
    <row r="1191" spans="1:6" x14ac:dyDescent="0.3">
      <c r="A1191" s="4"/>
      <c r="B1191" s="1"/>
      <c r="C1191" s="2"/>
      <c r="D1191" s="2"/>
      <c r="E1191" s="5">
        <f t="shared" si="40"/>
        <v>0</v>
      </c>
      <c r="F1191" s="6">
        <f t="shared" si="41"/>
        <v>0</v>
      </c>
    </row>
    <row r="1192" spans="1:6" x14ac:dyDescent="0.3">
      <c r="A1192" s="4"/>
      <c r="B1192" s="1"/>
      <c r="C1192" s="2"/>
      <c r="D1192" s="2"/>
      <c r="E1192" s="5">
        <f t="shared" si="40"/>
        <v>0</v>
      </c>
      <c r="F1192" s="6">
        <f t="shared" si="41"/>
        <v>0</v>
      </c>
    </row>
    <row r="1193" spans="1:6" x14ac:dyDescent="0.3">
      <c r="A1193" s="4"/>
      <c r="B1193" s="1"/>
      <c r="C1193" s="2"/>
      <c r="D1193" s="2"/>
      <c r="E1193" s="5">
        <f t="shared" si="40"/>
        <v>0</v>
      </c>
      <c r="F1193" s="6">
        <f t="shared" si="41"/>
        <v>0</v>
      </c>
    </row>
    <row r="1194" spans="1:6" x14ac:dyDescent="0.3">
      <c r="A1194" s="4"/>
      <c r="B1194" s="1"/>
      <c r="C1194" s="2"/>
      <c r="D1194" s="2"/>
      <c r="E1194" s="5">
        <f t="shared" si="40"/>
        <v>0</v>
      </c>
      <c r="F1194" s="6">
        <f t="shared" si="41"/>
        <v>0</v>
      </c>
    </row>
    <row r="1195" spans="1:6" x14ac:dyDescent="0.3">
      <c r="A1195" s="4"/>
      <c r="B1195" s="1"/>
      <c r="C1195" s="2"/>
      <c r="D1195" s="2"/>
      <c r="E1195" s="5">
        <f t="shared" si="40"/>
        <v>0</v>
      </c>
      <c r="F1195" s="6">
        <f t="shared" si="41"/>
        <v>0</v>
      </c>
    </row>
    <row r="1196" spans="1:6" x14ac:dyDescent="0.3">
      <c r="A1196" s="4"/>
      <c r="B1196" s="1"/>
      <c r="C1196" s="2"/>
      <c r="D1196" s="2"/>
      <c r="E1196" s="5">
        <f t="shared" si="40"/>
        <v>0</v>
      </c>
      <c r="F1196" s="6">
        <f t="shared" si="41"/>
        <v>0</v>
      </c>
    </row>
    <row r="1197" spans="1:6" x14ac:dyDescent="0.3">
      <c r="A1197" s="4"/>
      <c r="B1197" s="1"/>
      <c r="C1197" s="2"/>
      <c r="D1197" s="2"/>
      <c r="E1197" s="5">
        <f t="shared" si="40"/>
        <v>0</v>
      </c>
      <c r="F1197" s="6">
        <f t="shared" si="41"/>
        <v>0</v>
      </c>
    </row>
    <row r="1198" spans="1:6" x14ac:dyDescent="0.3">
      <c r="A1198" s="4"/>
      <c r="B1198" s="1"/>
      <c r="C1198" s="2"/>
      <c r="D1198" s="2"/>
      <c r="E1198" s="5">
        <f t="shared" si="40"/>
        <v>0</v>
      </c>
      <c r="F1198" s="6">
        <f t="shared" si="41"/>
        <v>0</v>
      </c>
    </row>
    <row r="1199" spans="1:6" x14ac:dyDescent="0.3">
      <c r="A1199" s="4"/>
      <c r="B1199" s="1"/>
      <c r="C1199" s="2"/>
      <c r="D1199" s="2"/>
      <c r="E1199" s="5">
        <f t="shared" si="40"/>
        <v>0</v>
      </c>
      <c r="F1199" s="6">
        <f t="shared" si="41"/>
        <v>0</v>
      </c>
    </row>
    <row r="1200" spans="1:6" x14ac:dyDescent="0.3">
      <c r="A1200" s="4"/>
      <c r="B1200" s="1"/>
      <c r="C1200" s="2"/>
      <c r="D1200" s="2"/>
      <c r="E1200" s="5">
        <f t="shared" si="40"/>
        <v>0</v>
      </c>
      <c r="F1200" s="6">
        <f t="shared" si="41"/>
        <v>0</v>
      </c>
    </row>
    <row r="1201" spans="1:6" x14ac:dyDescent="0.3">
      <c r="A1201" s="4"/>
      <c r="B1201" s="1"/>
      <c r="C1201" s="2"/>
      <c r="D1201" s="2"/>
      <c r="E1201" s="5">
        <f t="shared" si="40"/>
        <v>0</v>
      </c>
      <c r="F1201" s="6">
        <f t="shared" si="41"/>
        <v>0</v>
      </c>
    </row>
    <row r="1202" spans="1:6" x14ac:dyDescent="0.3">
      <c r="A1202" s="4"/>
      <c r="B1202" s="1"/>
      <c r="C1202" s="2"/>
      <c r="D1202" s="2"/>
      <c r="E1202" s="5">
        <f t="shared" si="40"/>
        <v>0</v>
      </c>
      <c r="F1202" s="6">
        <f t="shared" si="41"/>
        <v>0</v>
      </c>
    </row>
    <row r="1203" spans="1:6" x14ac:dyDescent="0.3">
      <c r="A1203" s="4"/>
      <c r="B1203" s="1"/>
      <c r="C1203" s="2"/>
      <c r="D1203" s="2"/>
      <c r="E1203" s="5">
        <f t="shared" si="40"/>
        <v>0</v>
      </c>
      <c r="F1203" s="6">
        <f t="shared" si="41"/>
        <v>0</v>
      </c>
    </row>
    <row r="1204" spans="1:6" x14ac:dyDescent="0.3">
      <c r="A1204" s="4"/>
      <c r="B1204" s="1"/>
      <c r="C1204" s="2"/>
      <c r="D1204" s="2"/>
      <c r="E1204" s="5">
        <f t="shared" si="40"/>
        <v>0</v>
      </c>
      <c r="F1204" s="6">
        <f t="shared" si="41"/>
        <v>0</v>
      </c>
    </row>
    <row r="1205" spans="1:6" x14ac:dyDescent="0.3">
      <c r="A1205" s="4"/>
      <c r="B1205" s="1"/>
      <c r="C1205" s="2"/>
      <c r="D1205" s="2"/>
      <c r="E1205" s="5">
        <f t="shared" si="40"/>
        <v>0</v>
      </c>
      <c r="F1205" s="6">
        <f t="shared" si="41"/>
        <v>0</v>
      </c>
    </row>
    <row r="1206" spans="1:6" x14ac:dyDescent="0.3">
      <c r="A1206" s="4"/>
      <c r="B1206" s="1"/>
      <c r="C1206" s="2"/>
      <c r="D1206" s="2"/>
      <c r="E1206" s="5">
        <f t="shared" si="40"/>
        <v>0</v>
      </c>
      <c r="F1206" s="6">
        <f t="shared" si="41"/>
        <v>0</v>
      </c>
    </row>
    <row r="1207" spans="1:6" x14ac:dyDescent="0.3">
      <c r="A1207" s="4"/>
      <c r="B1207" s="1"/>
      <c r="C1207" s="2"/>
      <c r="D1207" s="2"/>
      <c r="E1207" s="5">
        <f t="shared" si="40"/>
        <v>0</v>
      </c>
      <c r="F1207" s="6">
        <f t="shared" si="41"/>
        <v>0</v>
      </c>
    </row>
    <row r="1208" spans="1:6" x14ac:dyDescent="0.3">
      <c r="A1208" s="4"/>
      <c r="B1208" s="1"/>
      <c r="C1208" s="2"/>
      <c r="D1208" s="2"/>
      <c r="E1208" s="5">
        <f t="shared" si="40"/>
        <v>0</v>
      </c>
      <c r="F1208" s="6">
        <f t="shared" si="41"/>
        <v>0</v>
      </c>
    </row>
    <row r="1209" spans="1:6" x14ac:dyDescent="0.3">
      <c r="A1209" s="4"/>
      <c r="B1209" s="1"/>
      <c r="C1209" s="2"/>
      <c r="D1209" s="2"/>
      <c r="E1209" s="5">
        <f t="shared" si="40"/>
        <v>0</v>
      </c>
      <c r="F1209" s="6">
        <f t="shared" si="41"/>
        <v>0</v>
      </c>
    </row>
    <row r="1210" spans="1:6" x14ac:dyDescent="0.3">
      <c r="A1210" s="4"/>
      <c r="B1210" s="1"/>
      <c r="C1210" s="2"/>
      <c r="D1210" s="2"/>
      <c r="E1210" s="5">
        <f t="shared" si="40"/>
        <v>0</v>
      </c>
      <c r="F1210" s="6">
        <f t="shared" si="41"/>
        <v>0</v>
      </c>
    </row>
    <row r="1211" spans="1:6" x14ac:dyDescent="0.3">
      <c r="A1211" s="4"/>
      <c r="B1211" s="1"/>
      <c r="C1211" s="2"/>
      <c r="D1211" s="2"/>
      <c r="E1211" s="5">
        <f t="shared" si="40"/>
        <v>0</v>
      </c>
      <c r="F1211" s="6">
        <f t="shared" si="41"/>
        <v>0</v>
      </c>
    </row>
    <row r="1212" spans="1:6" x14ac:dyDescent="0.3">
      <c r="A1212" s="4"/>
      <c r="B1212" s="1"/>
      <c r="C1212" s="2"/>
      <c r="D1212" s="2"/>
      <c r="E1212" s="5">
        <f t="shared" si="40"/>
        <v>0</v>
      </c>
      <c r="F1212" s="6">
        <f t="shared" si="41"/>
        <v>0</v>
      </c>
    </row>
    <row r="1213" spans="1:6" x14ac:dyDescent="0.3">
      <c r="A1213" s="4"/>
      <c r="B1213" s="1"/>
      <c r="C1213" s="2"/>
      <c r="D1213" s="2"/>
      <c r="E1213" s="5">
        <f t="shared" si="40"/>
        <v>0</v>
      </c>
      <c r="F1213" s="6">
        <f t="shared" si="41"/>
        <v>0</v>
      </c>
    </row>
    <row r="1214" spans="1:6" x14ac:dyDescent="0.3">
      <c r="A1214" s="4"/>
      <c r="B1214" s="1"/>
      <c r="C1214" s="2"/>
      <c r="D1214" s="2"/>
      <c r="E1214" s="5">
        <f t="shared" si="40"/>
        <v>0</v>
      </c>
      <c r="F1214" s="6">
        <f t="shared" si="41"/>
        <v>0</v>
      </c>
    </row>
    <row r="1215" spans="1:6" x14ac:dyDescent="0.3">
      <c r="A1215" s="4"/>
      <c r="B1215" s="1"/>
      <c r="C1215" s="2"/>
      <c r="D1215" s="2"/>
      <c r="E1215" s="5">
        <f t="shared" si="40"/>
        <v>0</v>
      </c>
      <c r="F1215" s="6">
        <f t="shared" si="41"/>
        <v>0</v>
      </c>
    </row>
    <row r="1216" spans="1:6" x14ac:dyDescent="0.3">
      <c r="A1216" s="4"/>
      <c r="B1216" s="1"/>
      <c r="C1216" s="2"/>
      <c r="D1216" s="2"/>
      <c r="E1216" s="5">
        <f t="shared" si="40"/>
        <v>0</v>
      </c>
      <c r="F1216" s="6">
        <f t="shared" si="41"/>
        <v>0</v>
      </c>
    </row>
    <row r="1217" spans="1:6" x14ac:dyDescent="0.3">
      <c r="A1217" s="4"/>
      <c r="B1217" s="1"/>
      <c r="C1217" s="2"/>
      <c r="D1217" s="2"/>
      <c r="E1217" s="5">
        <f t="shared" si="40"/>
        <v>0</v>
      </c>
      <c r="F1217" s="6">
        <f t="shared" si="41"/>
        <v>0</v>
      </c>
    </row>
    <row r="1218" spans="1:6" x14ac:dyDescent="0.3">
      <c r="A1218" s="4"/>
      <c r="B1218" s="1"/>
      <c r="C1218" s="2"/>
      <c r="D1218" s="2"/>
      <c r="E1218" s="5">
        <f t="shared" si="40"/>
        <v>0</v>
      </c>
      <c r="F1218" s="6">
        <f t="shared" si="41"/>
        <v>0</v>
      </c>
    </row>
    <row r="1219" spans="1:6" x14ac:dyDescent="0.3">
      <c r="A1219" s="4"/>
      <c r="B1219" s="1"/>
      <c r="C1219" s="2"/>
      <c r="D1219" s="2"/>
      <c r="E1219" s="5">
        <f t="shared" ref="E1219:E1282" si="42">D1219-C1219</f>
        <v>0</v>
      </c>
      <c r="F1219" s="6">
        <f t="shared" ref="F1219:F1282" si="43">ROUND(VALUE(E1219)*4,2)</f>
        <v>0</v>
      </c>
    </row>
    <row r="1220" spans="1:6" x14ac:dyDescent="0.3">
      <c r="A1220" s="4"/>
      <c r="B1220" s="1"/>
      <c r="C1220" s="2"/>
      <c r="D1220" s="2"/>
      <c r="E1220" s="5">
        <f t="shared" si="42"/>
        <v>0</v>
      </c>
      <c r="F1220" s="6">
        <f t="shared" si="43"/>
        <v>0</v>
      </c>
    </row>
    <row r="1221" spans="1:6" x14ac:dyDescent="0.3">
      <c r="A1221" s="4"/>
      <c r="B1221" s="1"/>
      <c r="C1221" s="2"/>
      <c r="D1221" s="2"/>
      <c r="E1221" s="5">
        <f t="shared" si="42"/>
        <v>0</v>
      </c>
      <c r="F1221" s="6">
        <f t="shared" si="43"/>
        <v>0</v>
      </c>
    </row>
    <row r="1222" spans="1:6" x14ac:dyDescent="0.3">
      <c r="A1222" s="4"/>
      <c r="B1222" s="1"/>
      <c r="C1222" s="2"/>
      <c r="D1222" s="2"/>
      <c r="E1222" s="5">
        <f t="shared" si="42"/>
        <v>0</v>
      </c>
      <c r="F1222" s="6">
        <f t="shared" si="43"/>
        <v>0</v>
      </c>
    </row>
    <row r="1223" spans="1:6" x14ac:dyDescent="0.3">
      <c r="A1223" s="4"/>
      <c r="B1223" s="1"/>
      <c r="C1223" s="2"/>
      <c r="D1223" s="2"/>
      <c r="E1223" s="5">
        <f t="shared" si="42"/>
        <v>0</v>
      </c>
      <c r="F1223" s="6">
        <f t="shared" si="43"/>
        <v>0</v>
      </c>
    </row>
    <row r="1224" spans="1:6" x14ac:dyDescent="0.3">
      <c r="A1224" s="4"/>
      <c r="B1224" s="1"/>
      <c r="C1224" s="2"/>
      <c r="D1224" s="2"/>
      <c r="E1224" s="5">
        <f t="shared" si="42"/>
        <v>0</v>
      </c>
      <c r="F1224" s="6">
        <f t="shared" si="43"/>
        <v>0</v>
      </c>
    </row>
    <row r="1225" spans="1:6" x14ac:dyDescent="0.3">
      <c r="A1225" s="4"/>
      <c r="B1225" s="1"/>
      <c r="C1225" s="2"/>
      <c r="D1225" s="2"/>
      <c r="E1225" s="5">
        <f t="shared" si="42"/>
        <v>0</v>
      </c>
      <c r="F1225" s="6">
        <f t="shared" si="43"/>
        <v>0</v>
      </c>
    </row>
    <row r="1226" spans="1:6" x14ac:dyDescent="0.3">
      <c r="A1226" s="4"/>
      <c r="B1226" s="1"/>
      <c r="C1226" s="2"/>
      <c r="D1226" s="2"/>
      <c r="E1226" s="5">
        <f t="shared" si="42"/>
        <v>0</v>
      </c>
      <c r="F1226" s="6">
        <f t="shared" si="43"/>
        <v>0</v>
      </c>
    </row>
    <row r="1227" spans="1:6" x14ac:dyDescent="0.3">
      <c r="A1227" s="4"/>
      <c r="B1227" s="1"/>
      <c r="C1227" s="2"/>
      <c r="D1227" s="2"/>
      <c r="E1227" s="5">
        <f t="shared" si="42"/>
        <v>0</v>
      </c>
      <c r="F1227" s="6">
        <f t="shared" si="43"/>
        <v>0</v>
      </c>
    </row>
    <row r="1228" spans="1:6" x14ac:dyDescent="0.3">
      <c r="A1228" s="4"/>
      <c r="B1228" s="1"/>
      <c r="C1228" s="2"/>
      <c r="D1228" s="2"/>
      <c r="E1228" s="5">
        <f t="shared" si="42"/>
        <v>0</v>
      </c>
      <c r="F1228" s="6">
        <f t="shared" si="43"/>
        <v>0</v>
      </c>
    </row>
    <row r="1229" spans="1:6" x14ac:dyDescent="0.3">
      <c r="A1229" s="4"/>
      <c r="B1229" s="1"/>
      <c r="C1229" s="2"/>
      <c r="D1229" s="2"/>
      <c r="E1229" s="5">
        <f t="shared" si="42"/>
        <v>0</v>
      </c>
      <c r="F1229" s="6">
        <f t="shared" si="43"/>
        <v>0</v>
      </c>
    </row>
    <row r="1230" spans="1:6" x14ac:dyDescent="0.3">
      <c r="A1230" s="4"/>
      <c r="B1230" s="1"/>
      <c r="C1230" s="2"/>
      <c r="D1230" s="2"/>
      <c r="E1230" s="5">
        <f t="shared" si="42"/>
        <v>0</v>
      </c>
      <c r="F1230" s="6">
        <f t="shared" si="43"/>
        <v>0</v>
      </c>
    </row>
    <row r="1231" spans="1:6" x14ac:dyDescent="0.3">
      <c r="A1231" s="4"/>
      <c r="B1231" s="1"/>
      <c r="C1231" s="2"/>
      <c r="D1231" s="2"/>
      <c r="E1231" s="5">
        <f t="shared" si="42"/>
        <v>0</v>
      </c>
      <c r="F1231" s="6">
        <f t="shared" si="43"/>
        <v>0</v>
      </c>
    </row>
    <row r="1232" spans="1:6" x14ac:dyDescent="0.3">
      <c r="A1232" s="4"/>
      <c r="B1232" s="1"/>
      <c r="C1232" s="2"/>
      <c r="D1232" s="2"/>
      <c r="E1232" s="5">
        <f t="shared" si="42"/>
        <v>0</v>
      </c>
      <c r="F1232" s="6">
        <f t="shared" si="43"/>
        <v>0</v>
      </c>
    </row>
    <row r="1233" spans="1:6" x14ac:dyDescent="0.3">
      <c r="A1233" s="4"/>
      <c r="B1233" s="1"/>
      <c r="C1233" s="2"/>
      <c r="D1233" s="2"/>
      <c r="E1233" s="5">
        <f t="shared" si="42"/>
        <v>0</v>
      </c>
      <c r="F1233" s="6">
        <f t="shared" si="43"/>
        <v>0</v>
      </c>
    </row>
    <row r="1234" spans="1:6" x14ac:dyDescent="0.3">
      <c r="A1234" s="4"/>
      <c r="B1234" s="1"/>
      <c r="C1234" s="2"/>
      <c r="D1234" s="2"/>
      <c r="E1234" s="5">
        <f t="shared" si="42"/>
        <v>0</v>
      </c>
      <c r="F1234" s="6">
        <f t="shared" si="43"/>
        <v>0</v>
      </c>
    </row>
    <row r="1235" spans="1:6" x14ac:dyDescent="0.3">
      <c r="A1235" s="4"/>
      <c r="B1235" s="1"/>
      <c r="C1235" s="2"/>
      <c r="D1235" s="2"/>
      <c r="E1235" s="5">
        <f t="shared" si="42"/>
        <v>0</v>
      </c>
      <c r="F1235" s="6">
        <f t="shared" si="43"/>
        <v>0</v>
      </c>
    </row>
    <row r="1236" spans="1:6" x14ac:dyDescent="0.3">
      <c r="A1236" s="4"/>
      <c r="B1236" s="1"/>
      <c r="C1236" s="2"/>
      <c r="D1236" s="2"/>
      <c r="E1236" s="5">
        <f t="shared" si="42"/>
        <v>0</v>
      </c>
      <c r="F1236" s="6">
        <f t="shared" si="43"/>
        <v>0</v>
      </c>
    </row>
    <row r="1237" spans="1:6" x14ac:dyDescent="0.3">
      <c r="A1237" s="4"/>
      <c r="B1237" s="1"/>
      <c r="C1237" s="2"/>
      <c r="D1237" s="2"/>
      <c r="E1237" s="5">
        <f t="shared" si="42"/>
        <v>0</v>
      </c>
      <c r="F1237" s="6">
        <f t="shared" si="43"/>
        <v>0</v>
      </c>
    </row>
    <row r="1238" spans="1:6" x14ac:dyDescent="0.3">
      <c r="A1238" s="4"/>
      <c r="B1238" s="1"/>
      <c r="C1238" s="2"/>
      <c r="D1238" s="2"/>
      <c r="E1238" s="5">
        <f t="shared" si="42"/>
        <v>0</v>
      </c>
      <c r="F1238" s="6">
        <f t="shared" si="43"/>
        <v>0</v>
      </c>
    </row>
    <row r="1239" spans="1:6" x14ac:dyDescent="0.3">
      <c r="A1239" s="4"/>
      <c r="B1239" s="1"/>
      <c r="C1239" s="2"/>
      <c r="D1239" s="2"/>
      <c r="E1239" s="5">
        <f t="shared" si="42"/>
        <v>0</v>
      </c>
      <c r="F1239" s="6">
        <f t="shared" si="43"/>
        <v>0</v>
      </c>
    </row>
    <row r="1240" spans="1:6" x14ac:dyDescent="0.3">
      <c r="A1240" s="4"/>
      <c r="B1240" s="1"/>
      <c r="C1240" s="2"/>
      <c r="D1240" s="2"/>
      <c r="E1240" s="5">
        <f t="shared" si="42"/>
        <v>0</v>
      </c>
      <c r="F1240" s="6">
        <f t="shared" si="43"/>
        <v>0</v>
      </c>
    </row>
    <row r="1241" spans="1:6" x14ac:dyDescent="0.3">
      <c r="A1241" s="4"/>
      <c r="B1241" s="1"/>
      <c r="C1241" s="2"/>
      <c r="D1241" s="2"/>
      <c r="E1241" s="5">
        <f t="shared" si="42"/>
        <v>0</v>
      </c>
      <c r="F1241" s="6">
        <f t="shared" si="43"/>
        <v>0</v>
      </c>
    </row>
    <row r="1242" spans="1:6" x14ac:dyDescent="0.3">
      <c r="A1242" s="4"/>
      <c r="B1242" s="1"/>
      <c r="C1242" s="2"/>
      <c r="D1242" s="2"/>
      <c r="E1242" s="5">
        <f t="shared" si="42"/>
        <v>0</v>
      </c>
      <c r="F1242" s="6">
        <f t="shared" si="43"/>
        <v>0</v>
      </c>
    </row>
    <row r="1243" spans="1:6" x14ac:dyDescent="0.3">
      <c r="A1243" s="4"/>
      <c r="B1243" s="1"/>
      <c r="C1243" s="2"/>
      <c r="D1243" s="2"/>
      <c r="E1243" s="5">
        <f t="shared" si="42"/>
        <v>0</v>
      </c>
      <c r="F1243" s="6">
        <f t="shared" si="43"/>
        <v>0</v>
      </c>
    </row>
    <row r="1244" spans="1:6" x14ac:dyDescent="0.3">
      <c r="A1244" s="4"/>
      <c r="B1244" s="1"/>
      <c r="C1244" s="2"/>
      <c r="D1244" s="2"/>
      <c r="E1244" s="5">
        <f t="shared" si="42"/>
        <v>0</v>
      </c>
      <c r="F1244" s="6">
        <f t="shared" si="43"/>
        <v>0</v>
      </c>
    </row>
    <row r="1245" spans="1:6" x14ac:dyDescent="0.3">
      <c r="A1245" s="4"/>
      <c r="B1245" s="1"/>
      <c r="C1245" s="2"/>
      <c r="D1245" s="2"/>
      <c r="E1245" s="5">
        <f t="shared" si="42"/>
        <v>0</v>
      </c>
      <c r="F1245" s="6">
        <f t="shared" si="43"/>
        <v>0</v>
      </c>
    </row>
    <row r="1246" spans="1:6" x14ac:dyDescent="0.3">
      <c r="A1246" s="4"/>
      <c r="B1246" s="1"/>
      <c r="C1246" s="2"/>
      <c r="D1246" s="2"/>
      <c r="E1246" s="5">
        <f t="shared" si="42"/>
        <v>0</v>
      </c>
      <c r="F1246" s="6">
        <f t="shared" si="43"/>
        <v>0</v>
      </c>
    </row>
    <row r="1247" spans="1:6" x14ac:dyDescent="0.3">
      <c r="A1247" s="4"/>
      <c r="B1247" s="1"/>
      <c r="C1247" s="2"/>
      <c r="D1247" s="2"/>
      <c r="E1247" s="5">
        <f t="shared" si="42"/>
        <v>0</v>
      </c>
      <c r="F1247" s="6">
        <f t="shared" si="43"/>
        <v>0</v>
      </c>
    </row>
    <row r="1248" spans="1:6" x14ac:dyDescent="0.3">
      <c r="A1248" s="4"/>
      <c r="B1248" s="1"/>
      <c r="C1248" s="2"/>
      <c r="D1248" s="2"/>
      <c r="E1248" s="5">
        <f t="shared" si="42"/>
        <v>0</v>
      </c>
      <c r="F1248" s="6">
        <f t="shared" si="43"/>
        <v>0</v>
      </c>
    </row>
    <row r="1249" spans="1:6" x14ac:dyDescent="0.3">
      <c r="A1249" s="4"/>
      <c r="B1249" s="1"/>
      <c r="C1249" s="2"/>
      <c r="D1249" s="2"/>
      <c r="E1249" s="5">
        <f t="shared" si="42"/>
        <v>0</v>
      </c>
      <c r="F1249" s="6">
        <f t="shared" si="43"/>
        <v>0</v>
      </c>
    </row>
    <row r="1250" spans="1:6" x14ac:dyDescent="0.3">
      <c r="A1250" s="4"/>
      <c r="B1250" s="1"/>
      <c r="C1250" s="2"/>
      <c r="D1250" s="2"/>
      <c r="E1250" s="5">
        <f t="shared" si="42"/>
        <v>0</v>
      </c>
      <c r="F1250" s="6">
        <f t="shared" si="43"/>
        <v>0</v>
      </c>
    </row>
    <row r="1251" spans="1:6" x14ac:dyDescent="0.3">
      <c r="A1251" s="4"/>
      <c r="B1251" s="1"/>
      <c r="C1251" s="2"/>
      <c r="D1251" s="2"/>
      <c r="E1251" s="5">
        <f t="shared" si="42"/>
        <v>0</v>
      </c>
      <c r="F1251" s="6">
        <f t="shared" si="43"/>
        <v>0</v>
      </c>
    </row>
    <row r="1252" spans="1:6" x14ac:dyDescent="0.3">
      <c r="A1252" s="4"/>
      <c r="B1252" s="1"/>
      <c r="C1252" s="2"/>
      <c r="D1252" s="2"/>
      <c r="E1252" s="5">
        <f t="shared" si="42"/>
        <v>0</v>
      </c>
      <c r="F1252" s="6">
        <f t="shared" si="43"/>
        <v>0</v>
      </c>
    </row>
    <row r="1253" spans="1:6" x14ac:dyDescent="0.3">
      <c r="A1253" s="4"/>
      <c r="B1253" s="1"/>
      <c r="C1253" s="2"/>
      <c r="D1253" s="2"/>
      <c r="E1253" s="5">
        <f t="shared" si="42"/>
        <v>0</v>
      </c>
      <c r="F1253" s="6">
        <f t="shared" si="43"/>
        <v>0</v>
      </c>
    </row>
    <row r="1254" spans="1:6" x14ac:dyDescent="0.3">
      <c r="A1254" s="4"/>
      <c r="B1254" s="1"/>
      <c r="C1254" s="2"/>
      <c r="D1254" s="2"/>
      <c r="E1254" s="5">
        <f t="shared" si="42"/>
        <v>0</v>
      </c>
      <c r="F1254" s="6">
        <f t="shared" si="43"/>
        <v>0</v>
      </c>
    </row>
    <row r="1255" spans="1:6" x14ac:dyDescent="0.3">
      <c r="A1255" s="4"/>
      <c r="B1255" s="1"/>
      <c r="C1255" s="2"/>
      <c r="D1255" s="2"/>
      <c r="E1255" s="5">
        <f t="shared" si="42"/>
        <v>0</v>
      </c>
      <c r="F1255" s="6">
        <f t="shared" si="43"/>
        <v>0</v>
      </c>
    </row>
    <row r="1256" spans="1:6" x14ac:dyDescent="0.3">
      <c r="A1256" s="4"/>
      <c r="B1256" s="1"/>
      <c r="C1256" s="2"/>
      <c r="D1256" s="2"/>
      <c r="E1256" s="5">
        <f t="shared" si="42"/>
        <v>0</v>
      </c>
      <c r="F1256" s="6">
        <f t="shared" si="43"/>
        <v>0</v>
      </c>
    </row>
    <row r="1257" spans="1:6" x14ac:dyDescent="0.3">
      <c r="A1257" s="4"/>
      <c r="B1257" s="1"/>
      <c r="C1257" s="2"/>
      <c r="D1257" s="2"/>
      <c r="E1257" s="5">
        <f t="shared" si="42"/>
        <v>0</v>
      </c>
      <c r="F1257" s="6">
        <f t="shared" si="43"/>
        <v>0</v>
      </c>
    </row>
    <row r="1258" spans="1:6" x14ac:dyDescent="0.3">
      <c r="A1258" s="4"/>
      <c r="B1258" s="1"/>
      <c r="C1258" s="2"/>
      <c r="D1258" s="2"/>
      <c r="E1258" s="5">
        <f t="shared" si="42"/>
        <v>0</v>
      </c>
      <c r="F1258" s="6">
        <f t="shared" si="43"/>
        <v>0</v>
      </c>
    </row>
    <row r="1259" spans="1:6" x14ac:dyDescent="0.3">
      <c r="A1259" s="4"/>
      <c r="B1259" s="1"/>
      <c r="C1259" s="2"/>
      <c r="D1259" s="2"/>
      <c r="E1259" s="5">
        <f t="shared" si="42"/>
        <v>0</v>
      </c>
      <c r="F1259" s="6">
        <f t="shared" si="43"/>
        <v>0</v>
      </c>
    </row>
    <row r="1260" spans="1:6" x14ac:dyDescent="0.3">
      <c r="A1260" s="4"/>
      <c r="B1260" s="1"/>
      <c r="C1260" s="2"/>
      <c r="D1260" s="2"/>
      <c r="E1260" s="5">
        <f t="shared" si="42"/>
        <v>0</v>
      </c>
      <c r="F1260" s="6">
        <f t="shared" si="43"/>
        <v>0</v>
      </c>
    </row>
    <row r="1261" spans="1:6" x14ac:dyDescent="0.3">
      <c r="A1261" s="4"/>
      <c r="B1261" s="1"/>
      <c r="C1261" s="2"/>
      <c r="D1261" s="2"/>
      <c r="E1261" s="5">
        <f t="shared" si="42"/>
        <v>0</v>
      </c>
      <c r="F1261" s="6">
        <f t="shared" si="43"/>
        <v>0</v>
      </c>
    </row>
    <row r="1262" spans="1:6" x14ac:dyDescent="0.3">
      <c r="A1262" s="4"/>
      <c r="B1262" s="1"/>
      <c r="C1262" s="2"/>
      <c r="D1262" s="2"/>
      <c r="E1262" s="5">
        <f t="shared" si="42"/>
        <v>0</v>
      </c>
      <c r="F1262" s="6">
        <f t="shared" si="43"/>
        <v>0</v>
      </c>
    </row>
    <row r="1263" spans="1:6" x14ac:dyDescent="0.3">
      <c r="A1263" s="4"/>
      <c r="B1263" s="1"/>
      <c r="C1263" s="2"/>
      <c r="D1263" s="2"/>
      <c r="E1263" s="5">
        <f t="shared" si="42"/>
        <v>0</v>
      </c>
      <c r="F1263" s="6">
        <f t="shared" si="43"/>
        <v>0</v>
      </c>
    </row>
    <row r="1264" spans="1:6" x14ac:dyDescent="0.3">
      <c r="A1264" s="4"/>
      <c r="B1264" s="1"/>
      <c r="C1264" s="2"/>
      <c r="D1264" s="2"/>
      <c r="E1264" s="5">
        <f t="shared" si="42"/>
        <v>0</v>
      </c>
      <c r="F1264" s="6">
        <f t="shared" si="43"/>
        <v>0</v>
      </c>
    </row>
    <row r="1265" spans="1:6" x14ac:dyDescent="0.3">
      <c r="A1265" s="4"/>
      <c r="B1265" s="1"/>
      <c r="C1265" s="2"/>
      <c r="D1265" s="2"/>
      <c r="E1265" s="5">
        <f t="shared" si="42"/>
        <v>0</v>
      </c>
      <c r="F1265" s="6">
        <f t="shared" si="43"/>
        <v>0</v>
      </c>
    </row>
    <row r="1266" spans="1:6" x14ac:dyDescent="0.3">
      <c r="A1266" s="4"/>
      <c r="B1266" s="1"/>
      <c r="C1266" s="2"/>
      <c r="D1266" s="2"/>
      <c r="E1266" s="5">
        <f t="shared" si="42"/>
        <v>0</v>
      </c>
      <c r="F1266" s="6">
        <f t="shared" si="43"/>
        <v>0</v>
      </c>
    </row>
    <row r="1267" spans="1:6" x14ac:dyDescent="0.3">
      <c r="A1267" s="4"/>
      <c r="B1267" s="1"/>
      <c r="C1267" s="2"/>
      <c r="D1267" s="2"/>
      <c r="E1267" s="5">
        <f t="shared" si="42"/>
        <v>0</v>
      </c>
      <c r="F1267" s="6">
        <f t="shared" si="43"/>
        <v>0</v>
      </c>
    </row>
    <row r="1268" spans="1:6" x14ac:dyDescent="0.3">
      <c r="A1268" s="4"/>
      <c r="B1268" s="1"/>
      <c r="C1268" s="2"/>
      <c r="D1268" s="2"/>
      <c r="E1268" s="5">
        <f t="shared" si="42"/>
        <v>0</v>
      </c>
      <c r="F1268" s="6">
        <f t="shared" si="43"/>
        <v>0</v>
      </c>
    </row>
    <row r="1269" spans="1:6" x14ac:dyDescent="0.3">
      <c r="A1269" s="4"/>
      <c r="B1269" s="1"/>
      <c r="C1269" s="2"/>
      <c r="D1269" s="2"/>
      <c r="E1269" s="5">
        <f t="shared" si="42"/>
        <v>0</v>
      </c>
      <c r="F1269" s="6">
        <f t="shared" si="43"/>
        <v>0</v>
      </c>
    </row>
    <row r="1270" spans="1:6" x14ac:dyDescent="0.3">
      <c r="A1270" s="4"/>
      <c r="B1270" s="1"/>
      <c r="C1270" s="2"/>
      <c r="D1270" s="2"/>
      <c r="E1270" s="5">
        <f t="shared" si="42"/>
        <v>0</v>
      </c>
      <c r="F1270" s="6">
        <f t="shared" si="43"/>
        <v>0</v>
      </c>
    </row>
    <row r="1271" spans="1:6" x14ac:dyDescent="0.3">
      <c r="A1271" s="4"/>
      <c r="B1271" s="1"/>
      <c r="C1271" s="2"/>
      <c r="D1271" s="2"/>
      <c r="E1271" s="5">
        <f t="shared" si="42"/>
        <v>0</v>
      </c>
      <c r="F1271" s="6">
        <f t="shared" si="43"/>
        <v>0</v>
      </c>
    </row>
    <row r="1272" spans="1:6" x14ac:dyDescent="0.3">
      <c r="A1272" s="4"/>
      <c r="B1272" s="1"/>
      <c r="C1272" s="2"/>
      <c r="D1272" s="2"/>
      <c r="E1272" s="5">
        <f t="shared" si="42"/>
        <v>0</v>
      </c>
      <c r="F1272" s="6">
        <f t="shared" si="43"/>
        <v>0</v>
      </c>
    </row>
    <row r="1273" spans="1:6" x14ac:dyDescent="0.3">
      <c r="A1273" s="4"/>
      <c r="B1273" s="1"/>
      <c r="C1273" s="2"/>
      <c r="D1273" s="2"/>
      <c r="E1273" s="5">
        <f t="shared" si="42"/>
        <v>0</v>
      </c>
      <c r="F1273" s="6">
        <f t="shared" si="43"/>
        <v>0</v>
      </c>
    </row>
    <row r="1274" spans="1:6" x14ac:dyDescent="0.3">
      <c r="A1274" s="4"/>
      <c r="B1274" s="1"/>
      <c r="C1274" s="2"/>
      <c r="D1274" s="2"/>
      <c r="E1274" s="5">
        <f t="shared" si="42"/>
        <v>0</v>
      </c>
      <c r="F1274" s="6">
        <f t="shared" si="43"/>
        <v>0</v>
      </c>
    </row>
    <row r="1275" spans="1:6" x14ac:dyDescent="0.3">
      <c r="A1275" s="4"/>
      <c r="B1275" s="1"/>
      <c r="C1275" s="2"/>
      <c r="D1275" s="2"/>
      <c r="E1275" s="5">
        <f t="shared" si="42"/>
        <v>0</v>
      </c>
      <c r="F1275" s="6">
        <f t="shared" si="43"/>
        <v>0</v>
      </c>
    </row>
    <row r="1276" spans="1:6" x14ac:dyDescent="0.3">
      <c r="A1276" s="4"/>
      <c r="B1276" s="1"/>
      <c r="C1276" s="2"/>
      <c r="D1276" s="2"/>
      <c r="E1276" s="5">
        <f t="shared" si="42"/>
        <v>0</v>
      </c>
      <c r="F1276" s="6">
        <f t="shared" si="43"/>
        <v>0</v>
      </c>
    </row>
    <row r="1277" spans="1:6" x14ac:dyDescent="0.3">
      <c r="A1277" s="4"/>
      <c r="B1277" s="1"/>
      <c r="C1277" s="2"/>
      <c r="D1277" s="2"/>
      <c r="E1277" s="5">
        <f t="shared" si="42"/>
        <v>0</v>
      </c>
      <c r="F1277" s="6">
        <f t="shared" si="43"/>
        <v>0</v>
      </c>
    </row>
    <row r="1278" spans="1:6" x14ac:dyDescent="0.3">
      <c r="A1278" s="4"/>
      <c r="B1278" s="1"/>
      <c r="C1278" s="2"/>
      <c r="D1278" s="2"/>
      <c r="E1278" s="5">
        <f t="shared" si="42"/>
        <v>0</v>
      </c>
      <c r="F1278" s="6">
        <f t="shared" si="43"/>
        <v>0</v>
      </c>
    </row>
    <row r="1279" spans="1:6" x14ac:dyDescent="0.3">
      <c r="A1279" s="4"/>
      <c r="B1279" s="1"/>
      <c r="C1279" s="2"/>
      <c r="D1279" s="2"/>
      <c r="E1279" s="5">
        <f t="shared" si="42"/>
        <v>0</v>
      </c>
      <c r="F1279" s="6">
        <f t="shared" si="43"/>
        <v>0</v>
      </c>
    </row>
    <row r="1280" spans="1:6" x14ac:dyDescent="0.3">
      <c r="A1280" s="4"/>
      <c r="B1280" s="1"/>
      <c r="C1280" s="2"/>
      <c r="D1280" s="2"/>
      <c r="E1280" s="5">
        <f t="shared" si="42"/>
        <v>0</v>
      </c>
      <c r="F1280" s="6">
        <f t="shared" si="43"/>
        <v>0</v>
      </c>
    </row>
    <row r="1281" spans="1:6" x14ac:dyDescent="0.3">
      <c r="A1281" s="4"/>
      <c r="B1281" s="1"/>
      <c r="C1281" s="2"/>
      <c r="D1281" s="2"/>
      <c r="E1281" s="5">
        <f t="shared" si="42"/>
        <v>0</v>
      </c>
      <c r="F1281" s="6">
        <f t="shared" si="43"/>
        <v>0</v>
      </c>
    </row>
    <row r="1282" spans="1:6" x14ac:dyDescent="0.3">
      <c r="A1282" s="4"/>
      <c r="B1282" s="1"/>
      <c r="C1282" s="2"/>
      <c r="D1282" s="2"/>
      <c r="E1282" s="5">
        <f t="shared" si="42"/>
        <v>0</v>
      </c>
      <c r="F1282" s="6">
        <f t="shared" si="43"/>
        <v>0</v>
      </c>
    </row>
    <row r="1283" spans="1:6" x14ac:dyDescent="0.3">
      <c r="A1283" s="4"/>
      <c r="B1283" s="1"/>
      <c r="C1283" s="2"/>
      <c r="D1283" s="2"/>
      <c r="E1283" s="5">
        <f t="shared" ref="E1283:E1346" si="44">D1283-C1283</f>
        <v>0</v>
      </c>
      <c r="F1283" s="6">
        <f t="shared" ref="F1283:F1346" si="45">ROUND(VALUE(E1283)*4,2)</f>
        <v>0</v>
      </c>
    </row>
    <row r="1284" spans="1:6" x14ac:dyDescent="0.3">
      <c r="A1284" s="4"/>
      <c r="B1284" s="1"/>
      <c r="C1284" s="2"/>
      <c r="D1284" s="2"/>
      <c r="E1284" s="5">
        <f t="shared" si="44"/>
        <v>0</v>
      </c>
      <c r="F1284" s="6">
        <f t="shared" si="45"/>
        <v>0</v>
      </c>
    </row>
    <row r="1285" spans="1:6" x14ac:dyDescent="0.3">
      <c r="A1285" s="4"/>
      <c r="B1285" s="1"/>
      <c r="C1285" s="2"/>
      <c r="D1285" s="2"/>
      <c r="E1285" s="5">
        <f t="shared" si="44"/>
        <v>0</v>
      </c>
      <c r="F1285" s="6">
        <f t="shared" si="45"/>
        <v>0</v>
      </c>
    </row>
    <row r="1286" spans="1:6" x14ac:dyDescent="0.3">
      <c r="A1286" s="4"/>
      <c r="B1286" s="1"/>
      <c r="C1286" s="2"/>
      <c r="D1286" s="2"/>
      <c r="E1286" s="5">
        <f t="shared" si="44"/>
        <v>0</v>
      </c>
      <c r="F1286" s="6">
        <f t="shared" si="45"/>
        <v>0</v>
      </c>
    </row>
    <row r="1287" spans="1:6" x14ac:dyDescent="0.3">
      <c r="A1287" s="4"/>
      <c r="B1287" s="1"/>
      <c r="C1287" s="2"/>
      <c r="D1287" s="2"/>
      <c r="E1287" s="5">
        <f t="shared" si="44"/>
        <v>0</v>
      </c>
      <c r="F1287" s="6">
        <f t="shared" si="45"/>
        <v>0</v>
      </c>
    </row>
    <row r="1288" spans="1:6" x14ac:dyDescent="0.3">
      <c r="A1288" s="4"/>
      <c r="B1288" s="1"/>
      <c r="C1288" s="2"/>
      <c r="D1288" s="2"/>
      <c r="E1288" s="5">
        <f t="shared" si="44"/>
        <v>0</v>
      </c>
      <c r="F1288" s="6">
        <f t="shared" si="45"/>
        <v>0</v>
      </c>
    </row>
    <row r="1289" spans="1:6" x14ac:dyDescent="0.3">
      <c r="A1289" s="4"/>
      <c r="B1289" s="1"/>
      <c r="C1289" s="2"/>
      <c r="D1289" s="2"/>
      <c r="E1289" s="5">
        <f t="shared" si="44"/>
        <v>0</v>
      </c>
      <c r="F1289" s="6">
        <f t="shared" si="45"/>
        <v>0</v>
      </c>
    </row>
    <row r="1290" spans="1:6" x14ac:dyDescent="0.3">
      <c r="A1290" s="4"/>
      <c r="B1290" s="1"/>
      <c r="C1290" s="2"/>
      <c r="D1290" s="2"/>
      <c r="E1290" s="5">
        <f t="shared" si="44"/>
        <v>0</v>
      </c>
      <c r="F1290" s="6">
        <f t="shared" si="45"/>
        <v>0</v>
      </c>
    </row>
    <row r="1291" spans="1:6" x14ac:dyDescent="0.3">
      <c r="A1291" s="4"/>
      <c r="B1291" s="1"/>
      <c r="C1291" s="2"/>
      <c r="D1291" s="2"/>
      <c r="E1291" s="5">
        <f t="shared" si="44"/>
        <v>0</v>
      </c>
      <c r="F1291" s="6">
        <f t="shared" si="45"/>
        <v>0</v>
      </c>
    </row>
    <row r="1292" spans="1:6" x14ac:dyDescent="0.3">
      <c r="A1292" s="4"/>
      <c r="B1292" s="1"/>
      <c r="C1292" s="2"/>
      <c r="D1292" s="2"/>
      <c r="E1292" s="5">
        <f t="shared" si="44"/>
        <v>0</v>
      </c>
      <c r="F1292" s="6">
        <f t="shared" si="45"/>
        <v>0</v>
      </c>
    </row>
    <row r="1293" spans="1:6" x14ac:dyDescent="0.3">
      <c r="A1293" s="4"/>
      <c r="B1293" s="1"/>
      <c r="C1293" s="2"/>
      <c r="D1293" s="2"/>
      <c r="E1293" s="5">
        <f t="shared" si="44"/>
        <v>0</v>
      </c>
      <c r="F1293" s="6">
        <f t="shared" si="45"/>
        <v>0</v>
      </c>
    </row>
    <row r="1294" spans="1:6" x14ac:dyDescent="0.3">
      <c r="A1294" s="4"/>
      <c r="B1294" s="1"/>
      <c r="C1294" s="2"/>
      <c r="D1294" s="2"/>
      <c r="E1294" s="5">
        <f t="shared" si="44"/>
        <v>0</v>
      </c>
      <c r="F1294" s="6">
        <f t="shared" si="45"/>
        <v>0</v>
      </c>
    </row>
    <row r="1295" spans="1:6" x14ac:dyDescent="0.3">
      <c r="A1295" s="4"/>
      <c r="B1295" s="1"/>
      <c r="C1295" s="2"/>
      <c r="D1295" s="2"/>
      <c r="E1295" s="5">
        <f t="shared" si="44"/>
        <v>0</v>
      </c>
      <c r="F1295" s="6">
        <f t="shared" si="45"/>
        <v>0</v>
      </c>
    </row>
    <row r="1296" spans="1:6" x14ac:dyDescent="0.3">
      <c r="A1296" s="4"/>
      <c r="B1296" s="1"/>
      <c r="C1296" s="2"/>
      <c r="D1296" s="2"/>
      <c r="E1296" s="5">
        <f t="shared" si="44"/>
        <v>0</v>
      </c>
      <c r="F1296" s="6">
        <f t="shared" si="45"/>
        <v>0</v>
      </c>
    </row>
    <row r="1297" spans="1:6" x14ac:dyDescent="0.3">
      <c r="A1297" s="4"/>
      <c r="B1297" s="1"/>
      <c r="C1297" s="2"/>
      <c r="D1297" s="2"/>
      <c r="E1297" s="5">
        <f t="shared" si="44"/>
        <v>0</v>
      </c>
      <c r="F1297" s="6">
        <f t="shared" si="45"/>
        <v>0</v>
      </c>
    </row>
    <row r="1298" spans="1:6" x14ac:dyDescent="0.3">
      <c r="A1298" s="4"/>
      <c r="B1298" s="1"/>
      <c r="C1298" s="2"/>
      <c r="D1298" s="2"/>
      <c r="E1298" s="5">
        <f t="shared" si="44"/>
        <v>0</v>
      </c>
      <c r="F1298" s="6">
        <f t="shared" si="45"/>
        <v>0</v>
      </c>
    </row>
    <row r="1299" spans="1:6" x14ac:dyDescent="0.3">
      <c r="A1299" s="4"/>
      <c r="B1299" s="1"/>
      <c r="C1299" s="2"/>
      <c r="D1299" s="2"/>
      <c r="E1299" s="5">
        <f t="shared" si="44"/>
        <v>0</v>
      </c>
      <c r="F1299" s="6">
        <f t="shared" si="45"/>
        <v>0</v>
      </c>
    </row>
    <row r="1300" spans="1:6" x14ac:dyDescent="0.3">
      <c r="A1300" s="4"/>
      <c r="B1300" s="1"/>
      <c r="C1300" s="2"/>
      <c r="D1300" s="2"/>
      <c r="E1300" s="5">
        <f t="shared" si="44"/>
        <v>0</v>
      </c>
      <c r="F1300" s="6">
        <f t="shared" si="45"/>
        <v>0</v>
      </c>
    </row>
    <row r="1301" spans="1:6" x14ac:dyDescent="0.3">
      <c r="A1301" s="4"/>
      <c r="B1301" s="1"/>
      <c r="C1301" s="2"/>
      <c r="D1301" s="2"/>
      <c r="E1301" s="5">
        <f t="shared" si="44"/>
        <v>0</v>
      </c>
      <c r="F1301" s="6">
        <f t="shared" si="45"/>
        <v>0</v>
      </c>
    </row>
    <row r="1302" spans="1:6" x14ac:dyDescent="0.3">
      <c r="A1302" s="4"/>
      <c r="B1302" s="1"/>
      <c r="C1302" s="2"/>
      <c r="D1302" s="2"/>
      <c r="E1302" s="5">
        <f t="shared" si="44"/>
        <v>0</v>
      </c>
      <c r="F1302" s="6">
        <f t="shared" si="45"/>
        <v>0</v>
      </c>
    </row>
    <row r="1303" spans="1:6" x14ac:dyDescent="0.3">
      <c r="A1303" s="4"/>
      <c r="B1303" s="1"/>
      <c r="C1303" s="2"/>
      <c r="D1303" s="2"/>
      <c r="E1303" s="5">
        <f t="shared" si="44"/>
        <v>0</v>
      </c>
      <c r="F1303" s="6">
        <f t="shared" si="45"/>
        <v>0</v>
      </c>
    </row>
    <row r="1304" spans="1:6" x14ac:dyDescent="0.3">
      <c r="A1304" s="4"/>
      <c r="B1304" s="1"/>
      <c r="C1304" s="2"/>
      <c r="D1304" s="2"/>
      <c r="E1304" s="5">
        <f t="shared" si="44"/>
        <v>0</v>
      </c>
      <c r="F1304" s="6">
        <f t="shared" si="45"/>
        <v>0</v>
      </c>
    </row>
    <row r="1305" spans="1:6" x14ac:dyDescent="0.3">
      <c r="A1305" s="4"/>
      <c r="B1305" s="1"/>
      <c r="C1305" s="2"/>
      <c r="D1305" s="2"/>
      <c r="E1305" s="5">
        <f t="shared" si="44"/>
        <v>0</v>
      </c>
      <c r="F1305" s="6">
        <f t="shared" si="45"/>
        <v>0</v>
      </c>
    </row>
    <row r="1306" spans="1:6" x14ac:dyDescent="0.3">
      <c r="A1306" s="4"/>
      <c r="B1306" s="1"/>
      <c r="C1306" s="2"/>
      <c r="D1306" s="2"/>
      <c r="E1306" s="5">
        <f t="shared" si="44"/>
        <v>0</v>
      </c>
      <c r="F1306" s="6">
        <f t="shared" si="45"/>
        <v>0</v>
      </c>
    </row>
    <row r="1307" spans="1:6" x14ac:dyDescent="0.3">
      <c r="A1307" s="4"/>
      <c r="B1307" s="1"/>
      <c r="C1307" s="2"/>
      <c r="D1307" s="2"/>
      <c r="E1307" s="5">
        <f t="shared" si="44"/>
        <v>0</v>
      </c>
      <c r="F1307" s="6">
        <f t="shared" si="45"/>
        <v>0</v>
      </c>
    </row>
    <row r="1308" spans="1:6" x14ac:dyDescent="0.3">
      <c r="A1308" s="4"/>
      <c r="B1308" s="1"/>
      <c r="C1308" s="2"/>
      <c r="D1308" s="2"/>
      <c r="E1308" s="5">
        <f t="shared" si="44"/>
        <v>0</v>
      </c>
      <c r="F1308" s="6">
        <f t="shared" si="45"/>
        <v>0</v>
      </c>
    </row>
    <row r="1309" spans="1:6" x14ac:dyDescent="0.3">
      <c r="A1309" s="4"/>
      <c r="B1309" s="1"/>
      <c r="C1309" s="2"/>
      <c r="D1309" s="2"/>
      <c r="E1309" s="5">
        <f t="shared" si="44"/>
        <v>0</v>
      </c>
      <c r="F1309" s="6">
        <f t="shared" si="45"/>
        <v>0</v>
      </c>
    </row>
    <row r="1310" spans="1:6" x14ac:dyDescent="0.3">
      <c r="A1310" s="4"/>
      <c r="B1310" s="1"/>
      <c r="C1310" s="2"/>
      <c r="D1310" s="2"/>
      <c r="E1310" s="5">
        <f t="shared" si="44"/>
        <v>0</v>
      </c>
      <c r="F1310" s="6">
        <f t="shared" si="45"/>
        <v>0</v>
      </c>
    </row>
    <row r="1311" spans="1:6" x14ac:dyDescent="0.3">
      <c r="A1311" s="4"/>
      <c r="B1311" s="1"/>
      <c r="C1311" s="2"/>
      <c r="D1311" s="2"/>
      <c r="E1311" s="5">
        <f t="shared" si="44"/>
        <v>0</v>
      </c>
      <c r="F1311" s="6">
        <f t="shared" si="45"/>
        <v>0</v>
      </c>
    </row>
    <row r="1312" spans="1:6" x14ac:dyDescent="0.3">
      <c r="A1312" s="4"/>
      <c r="B1312" s="1"/>
      <c r="C1312" s="2"/>
      <c r="D1312" s="2"/>
      <c r="E1312" s="5">
        <f t="shared" si="44"/>
        <v>0</v>
      </c>
      <c r="F1312" s="6">
        <f t="shared" si="45"/>
        <v>0</v>
      </c>
    </row>
    <row r="1313" spans="1:6" x14ac:dyDescent="0.3">
      <c r="A1313" s="4"/>
      <c r="B1313" s="1"/>
      <c r="C1313" s="2"/>
      <c r="D1313" s="2"/>
      <c r="E1313" s="5">
        <f t="shared" si="44"/>
        <v>0</v>
      </c>
      <c r="F1313" s="6">
        <f t="shared" si="45"/>
        <v>0</v>
      </c>
    </row>
    <row r="1314" spans="1:6" x14ac:dyDescent="0.3">
      <c r="A1314" s="4"/>
      <c r="B1314" s="1"/>
      <c r="C1314" s="2"/>
      <c r="D1314" s="2"/>
      <c r="E1314" s="5">
        <f t="shared" si="44"/>
        <v>0</v>
      </c>
      <c r="F1314" s="6">
        <f t="shared" si="45"/>
        <v>0</v>
      </c>
    </row>
    <row r="1315" spans="1:6" x14ac:dyDescent="0.3">
      <c r="A1315" s="4"/>
      <c r="B1315" s="1"/>
      <c r="C1315" s="2"/>
      <c r="D1315" s="2"/>
      <c r="E1315" s="5">
        <f t="shared" si="44"/>
        <v>0</v>
      </c>
      <c r="F1315" s="6">
        <f t="shared" si="45"/>
        <v>0</v>
      </c>
    </row>
    <row r="1316" spans="1:6" x14ac:dyDescent="0.3">
      <c r="A1316" s="4"/>
      <c r="B1316" s="1"/>
      <c r="C1316" s="2"/>
      <c r="D1316" s="2"/>
      <c r="E1316" s="5">
        <f t="shared" si="44"/>
        <v>0</v>
      </c>
      <c r="F1316" s="6">
        <f t="shared" si="45"/>
        <v>0</v>
      </c>
    </row>
    <row r="1317" spans="1:6" x14ac:dyDescent="0.3">
      <c r="A1317" s="4"/>
      <c r="B1317" s="1"/>
      <c r="C1317" s="2"/>
      <c r="D1317" s="2"/>
      <c r="E1317" s="5">
        <f t="shared" si="44"/>
        <v>0</v>
      </c>
      <c r="F1317" s="6">
        <f t="shared" si="45"/>
        <v>0</v>
      </c>
    </row>
    <row r="1318" spans="1:6" x14ac:dyDescent="0.3">
      <c r="A1318" s="4"/>
      <c r="B1318" s="1"/>
      <c r="C1318" s="2"/>
      <c r="D1318" s="2"/>
      <c r="E1318" s="5">
        <f t="shared" si="44"/>
        <v>0</v>
      </c>
      <c r="F1318" s="6">
        <f t="shared" si="45"/>
        <v>0</v>
      </c>
    </row>
    <row r="1319" spans="1:6" x14ac:dyDescent="0.3">
      <c r="A1319" s="4"/>
      <c r="B1319" s="1"/>
      <c r="C1319" s="2"/>
      <c r="D1319" s="2"/>
      <c r="E1319" s="5">
        <f t="shared" si="44"/>
        <v>0</v>
      </c>
      <c r="F1319" s="6">
        <f t="shared" si="45"/>
        <v>0</v>
      </c>
    </row>
    <row r="1320" spans="1:6" x14ac:dyDescent="0.3">
      <c r="A1320" s="4"/>
      <c r="B1320" s="1"/>
      <c r="C1320" s="2"/>
      <c r="D1320" s="2"/>
      <c r="E1320" s="5">
        <f t="shared" si="44"/>
        <v>0</v>
      </c>
      <c r="F1320" s="6">
        <f t="shared" si="45"/>
        <v>0</v>
      </c>
    </row>
    <row r="1321" spans="1:6" x14ac:dyDescent="0.3">
      <c r="A1321" s="4"/>
      <c r="B1321" s="1"/>
      <c r="C1321" s="2"/>
      <c r="D1321" s="2"/>
      <c r="E1321" s="5">
        <f t="shared" si="44"/>
        <v>0</v>
      </c>
      <c r="F1321" s="6">
        <f t="shared" si="45"/>
        <v>0</v>
      </c>
    </row>
    <row r="1322" spans="1:6" x14ac:dyDescent="0.3">
      <c r="A1322" s="4"/>
      <c r="B1322" s="1"/>
      <c r="C1322" s="2"/>
      <c r="D1322" s="2"/>
      <c r="E1322" s="5">
        <f t="shared" si="44"/>
        <v>0</v>
      </c>
      <c r="F1322" s="6">
        <f t="shared" si="45"/>
        <v>0</v>
      </c>
    </row>
    <row r="1323" spans="1:6" x14ac:dyDescent="0.3">
      <c r="A1323" s="4"/>
      <c r="B1323" s="1"/>
      <c r="C1323" s="2"/>
      <c r="D1323" s="2"/>
      <c r="E1323" s="5">
        <f t="shared" si="44"/>
        <v>0</v>
      </c>
      <c r="F1323" s="6">
        <f t="shared" si="45"/>
        <v>0</v>
      </c>
    </row>
    <row r="1324" spans="1:6" x14ac:dyDescent="0.3">
      <c r="A1324" s="4"/>
      <c r="B1324" s="1"/>
      <c r="C1324" s="2"/>
      <c r="D1324" s="2"/>
      <c r="E1324" s="5">
        <f t="shared" si="44"/>
        <v>0</v>
      </c>
      <c r="F1324" s="6">
        <f t="shared" si="45"/>
        <v>0</v>
      </c>
    </row>
    <row r="1325" spans="1:6" x14ac:dyDescent="0.3">
      <c r="A1325" s="4"/>
      <c r="B1325" s="1"/>
      <c r="C1325" s="2"/>
      <c r="D1325" s="2"/>
      <c r="E1325" s="5">
        <f t="shared" si="44"/>
        <v>0</v>
      </c>
      <c r="F1325" s="6">
        <f t="shared" si="45"/>
        <v>0</v>
      </c>
    </row>
    <row r="1326" spans="1:6" x14ac:dyDescent="0.3">
      <c r="A1326" s="4"/>
      <c r="B1326" s="1"/>
      <c r="C1326" s="2"/>
      <c r="D1326" s="2"/>
      <c r="E1326" s="5">
        <f t="shared" si="44"/>
        <v>0</v>
      </c>
      <c r="F1326" s="6">
        <f t="shared" si="45"/>
        <v>0</v>
      </c>
    </row>
    <row r="1327" spans="1:6" x14ac:dyDescent="0.3">
      <c r="A1327" s="4"/>
      <c r="B1327" s="1"/>
      <c r="C1327" s="2"/>
      <c r="D1327" s="2"/>
      <c r="E1327" s="5">
        <f t="shared" si="44"/>
        <v>0</v>
      </c>
      <c r="F1327" s="6">
        <f t="shared" si="45"/>
        <v>0</v>
      </c>
    </row>
    <row r="1328" spans="1:6" x14ac:dyDescent="0.3">
      <c r="A1328" s="4"/>
      <c r="B1328" s="1"/>
      <c r="C1328" s="2"/>
      <c r="D1328" s="2"/>
      <c r="E1328" s="5">
        <f t="shared" si="44"/>
        <v>0</v>
      </c>
      <c r="F1328" s="6">
        <f t="shared" si="45"/>
        <v>0</v>
      </c>
    </row>
    <row r="1329" spans="1:6" x14ac:dyDescent="0.3">
      <c r="A1329" s="4"/>
      <c r="B1329" s="1"/>
      <c r="C1329" s="2"/>
      <c r="D1329" s="2"/>
      <c r="E1329" s="5">
        <f t="shared" si="44"/>
        <v>0</v>
      </c>
      <c r="F1329" s="6">
        <f t="shared" si="45"/>
        <v>0</v>
      </c>
    </row>
    <row r="1330" spans="1:6" x14ac:dyDescent="0.3">
      <c r="A1330" s="4"/>
      <c r="B1330" s="1"/>
      <c r="C1330" s="2"/>
      <c r="D1330" s="2"/>
      <c r="E1330" s="5">
        <f t="shared" si="44"/>
        <v>0</v>
      </c>
      <c r="F1330" s="6">
        <f t="shared" si="45"/>
        <v>0</v>
      </c>
    </row>
    <row r="1331" spans="1:6" x14ac:dyDescent="0.3">
      <c r="A1331" s="4"/>
      <c r="B1331" s="1"/>
      <c r="C1331" s="2"/>
      <c r="D1331" s="2"/>
      <c r="E1331" s="5">
        <f t="shared" si="44"/>
        <v>0</v>
      </c>
      <c r="F1331" s="6">
        <f t="shared" si="45"/>
        <v>0</v>
      </c>
    </row>
    <row r="1332" spans="1:6" x14ac:dyDescent="0.3">
      <c r="A1332" s="4"/>
      <c r="B1332" s="1"/>
      <c r="C1332" s="2"/>
      <c r="D1332" s="2"/>
      <c r="E1332" s="5">
        <f t="shared" si="44"/>
        <v>0</v>
      </c>
      <c r="F1332" s="6">
        <f t="shared" si="45"/>
        <v>0</v>
      </c>
    </row>
    <row r="1333" spans="1:6" x14ac:dyDescent="0.3">
      <c r="A1333" s="4"/>
      <c r="B1333" s="1"/>
      <c r="C1333" s="2"/>
      <c r="D1333" s="2"/>
      <c r="E1333" s="5">
        <f t="shared" si="44"/>
        <v>0</v>
      </c>
      <c r="F1333" s="6">
        <f t="shared" si="45"/>
        <v>0</v>
      </c>
    </row>
    <row r="1334" spans="1:6" x14ac:dyDescent="0.3">
      <c r="A1334" s="4"/>
      <c r="B1334" s="1"/>
      <c r="C1334" s="2"/>
      <c r="D1334" s="2"/>
      <c r="E1334" s="5">
        <f t="shared" si="44"/>
        <v>0</v>
      </c>
      <c r="F1334" s="6">
        <f t="shared" si="45"/>
        <v>0</v>
      </c>
    </row>
    <row r="1335" spans="1:6" x14ac:dyDescent="0.3">
      <c r="A1335" s="4"/>
      <c r="B1335" s="1"/>
      <c r="C1335" s="2"/>
      <c r="D1335" s="2"/>
      <c r="E1335" s="5">
        <f t="shared" si="44"/>
        <v>0</v>
      </c>
      <c r="F1335" s="6">
        <f t="shared" si="45"/>
        <v>0</v>
      </c>
    </row>
    <row r="1336" spans="1:6" x14ac:dyDescent="0.3">
      <c r="A1336" s="4"/>
      <c r="B1336" s="1"/>
      <c r="C1336" s="2"/>
      <c r="D1336" s="2"/>
      <c r="E1336" s="5">
        <f t="shared" si="44"/>
        <v>0</v>
      </c>
      <c r="F1336" s="6">
        <f t="shared" si="45"/>
        <v>0</v>
      </c>
    </row>
    <row r="1337" spans="1:6" x14ac:dyDescent="0.3">
      <c r="A1337" s="4"/>
      <c r="B1337" s="1"/>
      <c r="C1337" s="2"/>
      <c r="D1337" s="2"/>
      <c r="E1337" s="5">
        <f t="shared" si="44"/>
        <v>0</v>
      </c>
      <c r="F1337" s="6">
        <f t="shared" si="45"/>
        <v>0</v>
      </c>
    </row>
    <row r="1338" spans="1:6" x14ac:dyDescent="0.3">
      <c r="A1338" s="4"/>
      <c r="B1338" s="1"/>
      <c r="C1338" s="2"/>
      <c r="D1338" s="2"/>
      <c r="E1338" s="5">
        <f t="shared" si="44"/>
        <v>0</v>
      </c>
      <c r="F1338" s="6">
        <f t="shared" si="45"/>
        <v>0</v>
      </c>
    </row>
    <row r="1339" spans="1:6" x14ac:dyDescent="0.3">
      <c r="A1339" s="4"/>
      <c r="B1339" s="1"/>
      <c r="C1339" s="2"/>
      <c r="D1339" s="2"/>
      <c r="E1339" s="5">
        <f t="shared" si="44"/>
        <v>0</v>
      </c>
      <c r="F1339" s="6">
        <f t="shared" si="45"/>
        <v>0</v>
      </c>
    </row>
    <row r="1340" spans="1:6" x14ac:dyDescent="0.3">
      <c r="A1340" s="4"/>
      <c r="B1340" s="1"/>
      <c r="C1340" s="2"/>
      <c r="D1340" s="2"/>
      <c r="E1340" s="5">
        <f t="shared" si="44"/>
        <v>0</v>
      </c>
      <c r="F1340" s="6">
        <f t="shared" si="45"/>
        <v>0</v>
      </c>
    </row>
    <row r="1341" spans="1:6" x14ac:dyDescent="0.3">
      <c r="A1341" s="4"/>
      <c r="B1341" s="1"/>
      <c r="C1341" s="2"/>
      <c r="D1341" s="2"/>
      <c r="E1341" s="5">
        <f t="shared" si="44"/>
        <v>0</v>
      </c>
      <c r="F1341" s="6">
        <f t="shared" si="45"/>
        <v>0</v>
      </c>
    </row>
    <row r="1342" spans="1:6" x14ac:dyDescent="0.3">
      <c r="A1342" s="4"/>
      <c r="B1342" s="1"/>
      <c r="C1342" s="2"/>
      <c r="D1342" s="2"/>
      <c r="E1342" s="5">
        <f t="shared" si="44"/>
        <v>0</v>
      </c>
      <c r="F1342" s="6">
        <f t="shared" si="45"/>
        <v>0</v>
      </c>
    </row>
    <row r="1343" spans="1:6" x14ac:dyDescent="0.3">
      <c r="A1343" s="4"/>
      <c r="B1343" s="1"/>
      <c r="C1343" s="2"/>
      <c r="D1343" s="2"/>
      <c r="E1343" s="5">
        <f t="shared" si="44"/>
        <v>0</v>
      </c>
      <c r="F1343" s="6">
        <f t="shared" si="45"/>
        <v>0</v>
      </c>
    </row>
    <row r="1344" spans="1:6" x14ac:dyDescent="0.3">
      <c r="A1344" s="4"/>
      <c r="B1344" s="1"/>
      <c r="C1344" s="2"/>
      <c r="D1344" s="2"/>
      <c r="E1344" s="5">
        <f t="shared" si="44"/>
        <v>0</v>
      </c>
      <c r="F1344" s="6">
        <f t="shared" si="45"/>
        <v>0</v>
      </c>
    </row>
    <row r="1345" spans="1:6" x14ac:dyDescent="0.3">
      <c r="A1345" s="4"/>
      <c r="B1345" s="1"/>
      <c r="C1345" s="2"/>
      <c r="D1345" s="2"/>
      <c r="E1345" s="5">
        <f t="shared" si="44"/>
        <v>0</v>
      </c>
      <c r="F1345" s="6">
        <f t="shared" si="45"/>
        <v>0</v>
      </c>
    </row>
    <row r="1346" spans="1:6" x14ac:dyDescent="0.3">
      <c r="A1346" s="4"/>
      <c r="B1346" s="1"/>
      <c r="C1346" s="2"/>
      <c r="D1346" s="2"/>
      <c r="E1346" s="5">
        <f t="shared" si="44"/>
        <v>0</v>
      </c>
      <c r="F1346" s="6">
        <f t="shared" si="45"/>
        <v>0</v>
      </c>
    </row>
    <row r="1347" spans="1:6" x14ac:dyDescent="0.3">
      <c r="A1347" s="4"/>
      <c r="B1347" s="1"/>
      <c r="C1347" s="2"/>
      <c r="D1347" s="2"/>
      <c r="E1347" s="5">
        <f t="shared" ref="E1347:E1410" si="46">D1347-C1347</f>
        <v>0</v>
      </c>
      <c r="F1347" s="6">
        <f t="shared" ref="F1347:F1410" si="47">ROUND(VALUE(E1347)*4,2)</f>
        <v>0</v>
      </c>
    </row>
    <row r="1348" spans="1:6" x14ac:dyDescent="0.3">
      <c r="A1348" s="4"/>
      <c r="B1348" s="1"/>
      <c r="C1348" s="2"/>
      <c r="D1348" s="2"/>
      <c r="E1348" s="5">
        <f t="shared" si="46"/>
        <v>0</v>
      </c>
      <c r="F1348" s="6">
        <f t="shared" si="47"/>
        <v>0</v>
      </c>
    </row>
    <row r="1349" spans="1:6" x14ac:dyDescent="0.3">
      <c r="A1349" s="4"/>
      <c r="B1349" s="1"/>
      <c r="C1349" s="2"/>
      <c r="D1349" s="2"/>
      <c r="E1349" s="5">
        <f t="shared" si="46"/>
        <v>0</v>
      </c>
      <c r="F1349" s="6">
        <f t="shared" si="47"/>
        <v>0</v>
      </c>
    </row>
    <row r="1350" spans="1:6" x14ac:dyDescent="0.3">
      <c r="A1350" s="4"/>
      <c r="B1350" s="1"/>
      <c r="C1350" s="2"/>
      <c r="D1350" s="2"/>
      <c r="E1350" s="5">
        <f t="shared" si="46"/>
        <v>0</v>
      </c>
      <c r="F1350" s="6">
        <f t="shared" si="47"/>
        <v>0</v>
      </c>
    </row>
    <row r="1351" spans="1:6" x14ac:dyDescent="0.3">
      <c r="A1351" s="4"/>
      <c r="B1351" s="1"/>
      <c r="C1351" s="2"/>
      <c r="D1351" s="2"/>
      <c r="E1351" s="5">
        <f t="shared" si="46"/>
        <v>0</v>
      </c>
      <c r="F1351" s="6">
        <f t="shared" si="47"/>
        <v>0</v>
      </c>
    </row>
    <row r="1352" spans="1:6" x14ac:dyDescent="0.3">
      <c r="A1352" s="4"/>
      <c r="B1352" s="1"/>
      <c r="C1352" s="2"/>
      <c r="D1352" s="2"/>
      <c r="E1352" s="5">
        <f t="shared" si="46"/>
        <v>0</v>
      </c>
      <c r="F1352" s="6">
        <f t="shared" si="47"/>
        <v>0</v>
      </c>
    </row>
    <row r="1353" spans="1:6" x14ac:dyDescent="0.3">
      <c r="A1353" s="4"/>
      <c r="B1353" s="1"/>
      <c r="C1353" s="2"/>
      <c r="D1353" s="2"/>
      <c r="E1353" s="5">
        <f t="shared" si="46"/>
        <v>0</v>
      </c>
      <c r="F1353" s="6">
        <f t="shared" si="47"/>
        <v>0</v>
      </c>
    </row>
    <row r="1354" spans="1:6" x14ac:dyDescent="0.3">
      <c r="A1354" s="4"/>
      <c r="B1354" s="1"/>
      <c r="C1354" s="2"/>
      <c r="D1354" s="2"/>
      <c r="E1354" s="5">
        <f t="shared" si="46"/>
        <v>0</v>
      </c>
      <c r="F1354" s="6">
        <f t="shared" si="47"/>
        <v>0</v>
      </c>
    </row>
    <row r="1355" spans="1:6" x14ac:dyDescent="0.3">
      <c r="A1355" s="4"/>
      <c r="B1355" s="1"/>
      <c r="C1355" s="2"/>
      <c r="D1355" s="2"/>
      <c r="E1355" s="5">
        <f t="shared" si="46"/>
        <v>0</v>
      </c>
      <c r="F1355" s="6">
        <f t="shared" si="47"/>
        <v>0</v>
      </c>
    </row>
    <row r="1356" spans="1:6" x14ac:dyDescent="0.3">
      <c r="A1356" s="4"/>
      <c r="B1356" s="1"/>
      <c r="C1356" s="2"/>
      <c r="D1356" s="2"/>
      <c r="E1356" s="5">
        <f t="shared" si="46"/>
        <v>0</v>
      </c>
      <c r="F1356" s="6">
        <f t="shared" si="47"/>
        <v>0</v>
      </c>
    </row>
    <row r="1357" spans="1:6" x14ac:dyDescent="0.3">
      <c r="A1357" s="4"/>
      <c r="B1357" s="1"/>
      <c r="C1357" s="2"/>
      <c r="D1357" s="2"/>
      <c r="E1357" s="5">
        <f t="shared" si="46"/>
        <v>0</v>
      </c>
      <c r="F1357" s="6">
        <f t="shared" si="47"/>
        <v>0</v>
      </c>
    </row>
    <row r="1358" spans="1:6" x14ac:dyDescent="0.3">
      <c r="A1358" s="4"/>
      <c r="B1358" s="1"/>
      <c r="C1358" s="2"/>
      <c r="D1358" s="2"/>
      <c r="E1358" s="5">
        <f t="shared" si="46"/>
        <v>0</v>
      </c>
      <c r="F1358" s="6">
        <f t="shared" si="47"/>
        <v>0</v>
      </c>
    </row>
    <row r="1359" spans="1:6" x14ac:dyDescent="0.3">
      <c r="A1359" s="4"/>
      <c r="B1359" s="1"/>
      <c r="C1359" s="2"/>
      <c r="D1359" s="2"/>
      <c r="E1359" s="5">
        <f t="shared" si="46"/>
        <v>0</v>
      </c>
      <c r="F1359" s="6">
        <f t="shared" si="47"/>
        <v>0</v>
      </c>
    </row>
    <row r="1360" spans="1:6" x14ac:dyDescent="0.3">
      <c r="A1360" s="4"/>
      <c r="B1360" s="1"/>
      <c r="C1360" s="2"/>
      <c r="D1360" s="2"/>
      <c r="E1360" s="5">
        <f t="shared" si="46"/>
        <v>0</v>
      </c>
      <c r="F1360" s="6">
        <f t="shared" si="47"/>
        <v>0</v>
      </c>
    </row>
    <row r="1361" spans="1:6" x14ac:dyDescent="0.3">
      <c r="A1361" s="4"/>
      <c r="B1361" s="1"/>
      <c r="C1361" s="2"/>
      <c r="D1361" s="2"/>
      <c r="E1361" s="5">
        <f t="shared" si="46"/>
        <v>0</v>
      </c>
      <c r="F1361" s="6">
        <f t="shared" si="47"/>
        <v>0</v>
      </c>
    </row>
    <row r="1362" spans="1:6" x14ac:dyDescent="0.3">
      <c r="A1362" s="4"/>
      <c r="B1362" s="1"/>
      <c r="C1362" s="2"/>
      <c r="D1362" s="2"/>
      <c r="E1362" s="5">
        <f t="shared" si="46"/>
        <v>0</v>
      </c>
      <c r="F1362" s="6">
        <f t="shared" si="47"/>
        <v>0</v>
      </c>
    </row>
    <row r="1363" spans="1:6" x14ac:dyDescent="0.3">
      <c r="A1363" s="4"/>
      <c r="B1363" s="1"/>
      <c r="C1363" s="2"/>
      <c r="D1363" s="2"/>
      <c r="E1363" s="5">
        <f t="shared" si="46"/>
        <v>0</v>
      </c>
      <c r="F1363" s="6">
        <f t="shared" si="47"/>
        <v>0</v>
      </c>
    </row>
    <row r="1364" spans="1:6" x14ac:dyDescent="0.3">
      <c r="A1364" s="4"/>
      <c r="B1364" s="1"/>
      <c r="C1364" s="2"/>
      <c r="D1364" s="2"/>
      <c r="E1364" s="5">
        <f t="shared" si="46"/>
        <v>0</v>
      </c>
      <c r="F1364" s="6">
        <f t="shared" si="47"/>
        <v>0</v>
      </c>
    </row>
    <row r="1365" spans="1:6" x14ac:dyDescent="0.3">
      <c r="A1365" s="4"/>
      <c r="B1365" s="1"/>
      <c r="C1365" s="2"/>
      <c r="D1365" s="2"/>
      <c r="E1365" s="5">
        <f t="shared" si="46"/>
        <v>0</v>
      </c>
      <c r="F1365" s="6">
        <f t="shared" si="47"/>
        <v>0</v>
      </c>
    </row>
    <row r="1366" spans="1:6" x14ac:dyDescent="0.3">
      <c r="A1366" s="4"/>
      <c r="B1366" s="1"/>
      <c r="C1366" s="2"/>
      <c r="D1366" s="2"/>
      <c r="E1366" s="5">
        <f t="shared" si="46"/>
        <v>0</v>
      </c>
      <c r="F1366" s="6">
        <f t="shared" si="47"/>
        <v>0</v>
      </c>
    </row>
    <row r="1367" spans="1:6" x14ac:dyDescent="0.3">
      <c r="A1367" s="4"/>
      <c r="B1367" s="1"/>
      <c r="C1367" s="2"/>
      <c r="D1367" s="2"/>
      <c r="E1367" s="5">
        <f t="shared" si="46"/>
        <v>0</v>
      </c>
      <c r="F1367" s="6">
        <f t="shared" si="47"/>
        <v>0</v>
      </c>
    </row>
    <row r="1368" spans="1:6" x14ac:dyDescent="0.3">
      <c r="A1368" s="4"/>
      <c r="B1368" s="1"/>
      <c r="C1368" s="2"/>
      <c r="D1368" s="2"/>
      <c r="E1368" s="5">
        <f t="shared" si="46"/>
        <v>0</v>
      </c>
      <c r="F1368" s="6">
        <f t="shared" si="47"/>
        <v>0</v>
      </c>
    </row>
    <row r="1369" spans="1:6" x14ac:dyDescent="0.3">
      <c r="A1369" s="4"/>
      <c r="B1369" s="1"/>
      <c r="C1369" s="2"/>
      <c r="D1369" s="2"/>
      <c r="E1369" s="5">
        <f t="shared" si="46"/>
        <v>0</v>
      </c>
      <c r="F1369" s="6">
        <f t="shared" si="47"/>
        <v>0</v>
      </c>
    </row>
    <row r="1370" spans="1:6" x14ac:dyDescent="0.3">
      <c r="A1370" s="4"/>
      <c r="B1370" s="1"/>
      <c r="C1370" s="2"/>
      <c r="D1370" s="2"/>
      <c r="E1370" s="5">
        <f t="shared" si="46"/>
        <v>0</v>
      </c>
      <c r="F1370" s="6">
        <f t="shared" si="47"/>
        <v>0</v>
      </c>
    </row>
    <row r="1371" spans="1:6" x14ac:dyDescent="0.3">
      <c r="A1371" s="4"/>
      <c r="B1371" s="1"/>
      <c r="C1371" s="2"/>
      <c r="D1371" s="2"/>
      <c r="E1371" s="5">
        <f t="shared" si="46"/>
        <v>0</v>
      </c>
      <c r="F1371" s="6">
        <f t="shared" si="47"/>
        <v>0</v>
      </c>
    </row>
    <row r="1372" spans="1:6" x14ac:dyDescent="0.3">
      <c r="A1372" s="4"/>
      <c r="B1372" s="1"/>
      <c r="C1372" s="2"/>
      <c r="D1372" s="2"/>
      <c r="E1372" s="5">
        <f t="shared" si="46"/>
        <v>0</v>
      </c>
      <c r="F1372" s="6">
        <f t="shared" si="47"/>
        <v>0</v>
      </c>
    </row>
    <row r="1373" spans="1:6" x14ac:dyDescent="0.3">
      <c r="A1373" s="4"/>
      <c r="B1373" s="1"/>
      <c r="C1373" s="2"/>
      <c r="D1373" s="2"/>
      <c r="E1373" s="5">
        <f t="shared" si="46"/>
        <v>0</v>
      </c>
      <c r="F1373" s="6">
        <f t="shared" si="47"/>
        <v>0</v>
      </c>
    </row>
    <row r="1374" spans="1:6" x14ac:dyDescent="0.3">
      <c r="A1374" s="4"/>
      <c r="B1374" s="1"/>
      <c r="C1374" s="2"/>
      <c r="D1374" s="2"/>
      <c r="E1374" s="5">
        <f t="shared" si="46"/>
        <v>0</v>
      </c>
      <c r="F1374" s="6">
        <f t="shared" si="47"/>
        <v>0</v>
      </c>
    </row>
    <row r="1375" spans="1:6" x14ac:dyDescent="0.3">
      <c r="A1375" s="4"/>
      <c r="B1375" s="1"/>
      <c r="C1375" s="2"/>
      <c r="D1375" s="2"/>
      <c r="E1375" s="5">
        <f t="shared" si="46"/>
        <v>0</v>
      </c>
      <c r="F1375" s="6">
        <f t="shared" si="47"/>
        <v>0</v>
      </c>
    </row>
    <row r="1376" spans="1:6" x14ac:dyDescent="0.3">
      <c r="A1376" s="4"/>
      <c r="B1376" s="1"/>
      <c r="C1376" s="2"/>
      <c r="D1376" s="2"/>
      <c r="E1376" s="5">
        <f t="shared" si="46"/>
        <v>0</v>
      </c>
      <c r="F1376" s="6">
        <f t="shared" si="47"/>
        <v>0</v>
      </c>
    </row>
    <row r="1377" spans="1:6" x14ac:dyDescent="0.3">
      <c r="A1377" s="4"/>
      <c r="B1377" s="1"/>
      <c r="C1377" s="2"/>
      <c r="D1377" s="2"/>
      <c r="E1377" s="5">
        <f t="shared" si="46"/>
        <v>0</v>
      </c>
      <c r="F1377" s="6">
        <f t="shared" si="47"/>
        <v>0</v>
      </c>
    </row>
    <row r="1378" spans="1:6" x14ac:dyDescent="0.3">
      <c r="A1378" s="4"/>
      <c r="B1378" s="1"/>
      <c r="C1378" s="2"/>
      <c r="D1378" s="2"/>
      <c r="E1378" s="5">
        <f t="shared" si="46"/>
        <v>0</v>
      </c>
      <c r="F1378" s="6">
        <f t="shared" si="47"/>
        <v>0</v>
      </c>
    </row>
    <row r="1379" spans="1:6" x14ac:dyDescent="0.3">
      <c r="A1379" s="4"/>
      <c r="B1379" s="1"/>
      <c r="C1379" s="2"/>
      <c r="D1379" s="2"/>
      <c r="E1379" s="5">
        <f t="shared" si="46"/>
        <v>0</v>
      </c>
      <c r="F1379" s="6">
        <f t="shared" si="47"/>
        <v>0</v>
      </c>
    </row>
    <row r="1380" spans="1:6" x14ac:dyDescent="0.3">
      <c r="A1380" s="4"/>
      <c r="B1380" s="1"/>
      <c r="C1380" s="2"/>
      <c r="D1380" s="2"/>
      <c r="E1380" s="5">
        <f t="shared" si="46"/>
        <v>0</v>
      </c>
      <c r="F1380" s="6">
        <f t="shared" si="47"/>
        <v>0</v>
      </c>
    </row>
    <row r="1381" spans="1:6" x14ac:dyDescent="0.3">
      <c r="A1381" s="4"/>
      <c r="B1381" s="1"/>
      <c r="C1381" s="2"/>
      <c r="D1381" s="2"/>
      <c r="E1381" s="5">
        <f t="shared" si="46"/>
        <v>0</v>
      </c>
      <c r="F1381" s="6">
        <f t="shared" si="47"/>
        <v>0</v>
      </c>
    </row>
    <row r="1382" spans="1:6" x14ac:dyDescent="0.3">
      <c r="A1382" s="4"/>
      <c r="B1382" s="1"/>
      <c r="C1382" s="2"/>
      <c r="D1382" s="2"/>
      <c r="E1382" s="5">
        <f t="shared" si="46"/>
        <v>0</v>
      </c>
      <c r="F1382" s="6">
        <f t="shared" si="47"/>
        <v>0</v>
      </c>
    </row>
    <row r="1383" spans="1:6" x14ac:dyDescent="0.3">
      <c r="A1383" s="4"/>
      <c r="B1383" s="1"/>
      <c r="C1383" s="2"/>
      <c r="D1383" s="2"/>
      <c r="E1383" s="5">
        <f t="shared" si="46"/>
        <v>0</v>
      </c>
      <c r="F1383" s="6">
        <f t="shared" si="47"/>
        <v>0</v>
      </c>
    </row>
    <row r="1384" spans="1:6" x14ac:dyDescent="0.3">
      <c r="A1384" s="4"/>
      <c r="B1384" s="1"/>
      <c r="C1384" s="2"/>
      <c r="D1384" s="2"/>
      <c r="E1384" s="5">
        <f t="shared" si="46"/>
        <v>0</v>
      </c>
      <c r="F1384" s="6">
        <f t="shared" si="47"/>
        <v>0</v>
      </c>
    </row>
    <row r="1385" spans="1:6" x14ac:dyDescent="0.3">
      <c r="A1385" s="4"/>
      <c r="B1385" s="1"/>
      <c r="C1385" s="2"/>
      <c r="D1385" s="2"/>
      <c r="E1385" s="5">
        <f t="shared" si="46"/>
        <v>0</v>
      </c>
      <c r="F1385" s="6">
        <f t="shared" si="47"/>
        <v>0</v>
      </c>
    </row>
    <row r="1386" spans="1:6" x14ac:dyDescent="0.3">
      <c r="A1386" s="4"/>
      <c r="B1386" s="1"/>
      <c r="C1386" s="2"/>
      <c r="D1386" s="2"/>
      <c r="E1386" s="5">
        <f t="shared" si="46"/>
        <v>0</v>
      </c>
      <c r="F1386" s="6">
        <f t="shared" si="47"/>
        <v>0</v>
      </c>
    </row>
    <row r="1387" spans="1:6" x14ac:dyDescent="0.3">
      <c r="A1387" s="4"/>
      <c r="B1387" s="1"/>
      <c r="C1387" s="2"/>
      <c r="D1387" s="2"/>
      <c r="E1387" s="5">
        <f t="shared" si="46"/>
        <v>0</v>
      </c>
      <c r="F1387" s="6">
        <f t="shared" si="47"/>
        <v>0</v>
      </c>
    </row>
    <row r="1388" spans="1:6" x14ac:dyDescent="0.3">
      <c r="A1388" s="4"/>
      <c r="B1388" s="1"/>
      <c r="C1388" s="2"/>
      <c r="D1388" s="2"/>
      <c r="E1388" s="5">
        <f t="shared" si="46"/>
        <v>0</v>
      </c>
      <c r="F1388" s="6">
        <f t="shared" si="47"/>
        <v>0</v>
      </c>
    </row>
    <row r="1389" spans="1:6" x14ac:dyDescent="0.3">
      <c r="A1389" s="4"/>
      <c r="B1389" s="1"/>
      <c r="C1389" s="2"/>
      <c r="D1389" s="2"/>
      <c r="E1389" s="5">
        <f t="shared" si="46"/>
        <v>0</v>
      </c>
      <c r="F1389" s="6">
        <f t="shared" si="47"/>
        <v>0</v>
      </c>
    </row>
    <row r="1390" spans="1:6" x14ac:dyDescent="0.3">
      <c r="A1390" s="4"/>
      <c r="B1390" s="1"/>
      <c r="C1390" s="2"/>
      <c r="D1390" s="2"/>
      <c r="E1390" s="5">
        <f t="shared" si="46"/>
        <v>0</v>
      </c>
      <c r="F1390" s="6">
        <f t="shared" si="47"/>
        <v>0</v>
      </c>
    </row>
    <row r="1391" spans="1:6" x14ac:dyDescent="0.3">
      <c r="A1391" s="4"/>
      <c r="B1391" s="1"/>
      <c r="C1391" s="2"/>
      <c r="D1391" s="2"/>
      <c r="E1391" s="5">
        <f t="shared" si="46"/>
        <v>0</v>
      </c>
      <c r="F1391" s="6">
        <f t="shared" si="47"/>
        <v>0</v>
      </c>
    </row>
    <row r="1392" spans="1:6" x14ac:dyDescent="0.3">
      <c r="A1392" s="4"/>
      <c r="B1392" s="1"/>
      <c r="C1392" s="2"/>
      <c r="D1392" s="2"/>
      <c r="E1392" s="5">
        <f t="shared" si="46"/>
        <v>0</v>
      </c>
      <c r="F1392" s="6">
        <f t="shared" si="47"/>
        <v>0</v>
      </c>
    </row>
    <row r="1393" spans="1:6" x14ac:dyDescent="0.3">
      <c r="A1393" s="4"/>
      <c r="B1393" s="1"/>
      <c r="C1393" s="2"/>
      <c r="D1393" s="2"/>
      <c r="E1393" s="5">
        <f t="shared" si="46"/>
        <v>0</v>
      </c>
      <c r="F1393" s="6">
        <f t="shared" si="47"/>
        <v>0</v>
      </c>
    </row>
    <row r="1394" spans="1:6" x14ac:dyDescent="0.3">
      <c r="A1394" s="4"/>
      <c r="B1394" s="1"/>
      <c r="C1394" s="2"/>
      <c r="D1394" s="2"/>
      <c r="E1394" s="5">
        <f t="shared" si="46"/>
        <v>0</v>
      </c>
      <c r="F1394" s="6">
        <f t="shared" si="47"/>
        <v>0</v>
      </c>
    </row>
    <row r="1395" spans="1:6" x14ac:dyDescent="0.3">
      <c r="A1395" s="4"/>
      <c r="B1395" s="1"/>
      <c r="C1395" s="2"/>
      <c r="D1395" s="2"/>
      <c r="E1395" s="5">
        <f t="shared" si="46"/>
        <v>0</v>
      </c>
      <c r="F1395" s="6">
        <f t="shared" si="47"/>
        <v>0</v>
      </c>
    </row>
    <row r="1396" spans="1:6" x14ac:dyDescent="0.3">
      <c r="A1396" s="4"/>
      <c r="B1396" s="1"/>
      <c r="C1396" s="2"/>
      <c r="D1396" s="2"/>
      <c r="E1396" s="5">
        <f t="shared" si="46"/>
        <v>0</v>
      </c>
      <c r="F1396" s="6">
        <f t="shared" si="47"/>
        <v>0</v>
      </c>
    </row>
    <row r="1397" spans="1:6" x14ac:dyDescent="0.3">
      <c r="A1397" s="4"/>
      <c r="B1397" s="1"/>
      <c r="C1397" s="2"/>
      <c r="D1397" s="2"/>
      <c r="E1397" s="5">
        <f t="shared" si="46"/>
        <v>0</v>
      </c>
      <c r="F1397" s="6">
        <f t="shared" si="47"/>
        <v>0</v>
      </c>
    </row>
    <row r="1398" spans="1:6" x14ac:dyDescent="0.3">
      <c r="A1398" s="4"/>
      <c r="B1398" s="1"/>
      <c r="C1398" s="2"/>
      <c r="D1398" s="2"/>
      <c r="E1398" s="5">
        <f t="shared" si="46"/>
        <v>0</v>
      </c>
      <c r="F1398" s="6">
        <f t="shared" si="47"/>
        <v>0</v>
      </c>
    </row>
    <row r="1399" spans="1:6" x14ac:dyDescent="0.3">
      <c r="A1399" s="4"/>
      <c r="B1399" s="1"/>
      <c r="C1399" s="2"/>
      <c r="D1399" s="2"/>
      <c r="E1399" s="5">
        <f t="shared" si="46"/>
        <v>0</v>
      </c>
      <c r="F1399" s="6">
        <f t="shared" si="47"/>
        <v>0</v>
      </c>
    </row>
    <row r="1400" spans="1:6" x14ac:dyDescent="0.3">
      <c r="A1400" s="4"/>
      <c r="B1400" s="1"/>
      <c r="C1400" s="2"/>
      <c r="D1400" s="2"/>
      <c r="E1400" s="5">
        <f t="shared" si="46"/>
        <v>0</v>
      </c>
      <c r="F1400" s="6">
        <f t="shared" si="47"/>
        <v>0</v>
      </c>
    </row>
    <row r="1401" spans="1:6" x14ac:dyDescent="0.3">
      <c r="A1401" s="4"/>
      <c r="B1401" s="1"/>
      <c r="C1401" s="2"/>
      <c r="D1401" s="2"/>
      <c r="E1401" s="5">
        <f t="shared" si="46"/>
        <v>0</v>
      </c>
      <c r="F1401" s="6">
        <f t="shared" si="47"/>
        <v>0</v>
      </c>
    </row>
    <row r="1402" spans="1:6" x14ac:dyDescent="0.3">
      <c r="A1402" s="4"/>
      <c r="B1402" s="1"/>
      <c r="C1402" s="2"/>
      <c r="D1402" s="2"/>
      <c r="E1402" s="5">
        <f t="shared" si="46"/>
        <v>0</v>
      </c>
      <c r="F1402" s="6">
        <f t="shared" si="47"/>
        <v>0</v>
      </c>
    </row>
    <row r="1403" spans="1:6" x14ac:dyDescent="0.3">
      <c r="A1403" s="4"/>
      <c r="B1403" s="1"/>
      <c r="C1403" s="2"/>
      <c r="D1403" s="2"/>
      <c r="E1403" s="5">
        <f t="shared" si="46"/>
        <v>0</v>
      </c>
      <c r="F1403" s="6">
        <f t="shared" si="47"/>
        <v>0</v>
      </c>
    </row>
    <row r="1404" spans="1:6" x14ac:dyDescent="0.3">
      <c r="A1404" s="4"/>
      <c r="B1404" s="1"/>
      <c r="C1404" s="2"/>
      <c r="D1404" s="2"/>
      <c r="E1404" s="5">
        <f t="shared" si="46"/>
        <v>0</v>
      </c>
      <c r="F1404" s="6">
        <f t="shared" si="47"/>
        <v>0</v>
      </c>
    </row>
    <row r="1405" spans="1:6" x14ac:dyDescent="0.3">
      <c r="A1405" s="4"/>
      <c r="B1405" s="1"/>
      <c r="C1405" s="2"/>
      <c r="D1405" s="2"/>
      <c r="E1405" s="5">
        <f t="shared" si="46"/>
        <v>0</v>
      </c>
      <c r="F1405" s="6">
        <f t="shared" si="47"/>
        <v>0</v>
      </c>
    </row>
    <row r="1406" spans="1:6" x14ac:dyDescent="0.3">
      <c r="A1406" s="4"/>
      <c r="B1406" s="1"/>
      <c r="C1406" s="2"/>
      <c r="D1406" s="2"/>
      <c r="E1406" s="5">
        <f t="shared" si="46"/>
        <v>0</v>
      </c>
      <c r="F1406" s="6">
        <f t="shared" si="47"/>
        <v>0</v>
      </c>
    </row>
    <row r="1407" spans="1:6" x14ac:dyDescent="0.3">
      <c r="A1407" s="4"/>
      <c r="B1407" s="1"/>
      <c r="C1407" s="2"/>
      <c r="D1407" s="2"/>
      <c r="E1407" s="5">
        <f t="shared" si="46"/>
        <v>0</v>
      </c>
      <c r="F1407" s="6">
        <f t="shared" si="47"/>
        <v>0</v>
      </c>
    </row>
    <row r="1408" spans="1:6" x14ac:dyDescent="0.3">
      <c r="A1408" s="4"/>
      <c r="B1408" s="1"/>
      <c r="C1408" s="2"/>
      <c r="D1408" s="2"/>
      <c r="E1408" s="5">
        <f t="shared" si="46"/>
        <v>0</v>
      </c>
      <c r="F1408" s="6">
        <f t="shared" si="47"/>
        <v>0</v>
      </c>
    </row>
    <row r="1409" spans="1:6" x14ac:dyDescent="0.3">
      <c r="A1409" s="4"/>
      <c r="B1409" s="1"/>
      <c r="C1409" s="2"/>
      <c r="D1409" s="2"/>
      <c r="E1409" s="5">
        <f t="shared" si="46"/>
        <v>0</v>
      </c>
      <c r="F1409" s="6">
        <f t="shared" si="47"/>
        <v>0</v>
      </c>
    </row>
    <row r="1410" spans="1:6" x14ac:dyDescent="0.3">
      <c r="A1410" s="4"/>
      <c r="B1410" s="1"/>
      <c r="C1410" s="2"/>
      <c r="D1410" s="2"/>
      <c r="E1410" s="5">
        <f t="shared" si="46"/>
        <v>0</v>
      </c>
      <c r="F1410" s="6">
        <f t="shared" si="47"/>
        <v>0</v>
      </c>
    </row>
    <row r="1411" spans="1:6" x14ac:dyDescent="0.3">
      <c r="A1411" s="4"/>
      <c r="B1411" s="1"/>
      <c r="C1411" s="2"/>
      <c r="D1411" s="2"/>
      <c r="E1411" s="5">
        <f t="shared" ref="E1411:E1474" si="48">D1411-C1411</f>
        <v>0</v>
      </c>
      <c r="F1411" s="6">
        <f t="shared" ref="F1411:F1474" si="49">ROUND(VALUE(E1411)*4,2)</f>
        <v>0</v>
      </c>
    </row>
    <row r="1412" spans="1:6" x14ac:dyDescent="0.3">
      <c r="A1412" s="4"/>
      <c r="B1412" s="1"/>
      <c r="C1412" s="2"/>
      <c r="D1412" s="2"/>
      <c r="E1412" s="5">
        <f t="shared" si="48"/>
        <v>0</v>
      </c>
      <c r="F1412" s="6">
        <f t="shared" si="49"/>
        <v>0</v>
      </c>
    </row>
    <row r="1413" spans="1:6" x14ac:dyDescent="0.3">
      <c r="A1413" s="4"/>
      <c r="B1413" s="1"/>
      <c r="C1413" s="2"/>
      <c r="D1413" s="2"/>
      <c r="E1413" s="5">
        <f t="shared" si="48"/>
        <v>0</v>
      </c>
      <c r="F1413" s="6">
        <f t="shared" si="49"/>
        <v>0</v>
      </c>
    </row>
    <row r="1414" spans="1:6" x14ac:dyDescent="0.3">
      <c r="A1414" s="4"/>
      <c r="B1414" s="1"/>
      <c r="C1414" s="2"/>
      <c r="D1414" s="2"/>
      <c r="E1414" s="5">
        <f t="shared" si="48"/>
        <v>0</v>
      </c>
      <c r="F1414" s="6">
        <f t="shared" si="49"/>
        <v>0</v>
      </c>
    </row>
    <row r="1415" spans="1:6" x14ac:dyDescent="0.3">
      <c r="A1415" s="4"/>
      <c r="B1415" s="1"/>
      <c r="C1415" s="2"/>
      <c r="D1415" s="2"/>
      <c r="E1415" s="5">
        <f t="shared" si="48"/>
        <v>0</v>
      </c>
      <c r="F1415" s="6">
        <f t="shared" si="49"/>
        <v>0</v>
      </c>
    </row>
    <row r="1416" spans="1:6" x14ac:dyDescent="0.3">
      <c r="A1416" s="4"/>
      <c r="B1416" s="1"/>
      <c r="C1416" s="2"/>
      <c r="D1416" s="2"/>
      <c r="E1416" s="5">
        <f t="shared" si="48"/>
        <v>0</v>
      </c>
      <c r="F1416" s="6">
        <f t="shared" si="49"/>
        <v>0</v>
      </c>
    </row>
    <row r="1417" spans="1:6" x14ac:dyDescent="0.3">
      <c r="A1417" s="4"/>
      <c r="B1417" s="1"/>
      <c r="C1417" s="2"/>
      <c r="D1417" s="2"/>
      <c r="E1417" s="5">
        <f t="shared" si="48"/>
        <v>0</v>
      </c>
      <c r="F1417" s="6">
        <f t="shared" si="49"/>
        <v>0</v>
      </c>
    </row>
    <row r="1418" spans="1:6" x14ac:dyDescent="0.3">
      <c r="A1418" s="4"/>
      <c r="B1418" s="1"/>
      <c r="C1418" s="2"/>
      <c r="D1418" s="2"/>
      <c r="E1418" s="5">
        <f t="shared" si="48"/>
        <v>0</v>
      </c>
      <c r="F1418" s="6">
        <f t="shared" si="49"/>
        <v>0</v>
      </c>
    </row>
    <row r="1419" spans="1:6" x14ac:dyDescent="0.3">
      <c r="A1419" s="4"/>
      <c r="B1419" s="1"/>
      <c r="C1419" s="2"/>
      <c r="D1419" s="2"/>
      <c r="E1419" s="5">
        <f t="shared" si="48"/>
        <v>0</v>
      </c>
      <c r="F1419" s="6">
        <f t="shared" si="49"/>
        <v>0</v>
      </c>
    </row>
    <row r="1420" spans="1:6" x14ac:dyDescent="0.3">
      <c r="A1420" s="4"/>
      <c r="B1420" s="1"/>
      <c r="C1420" s="2"/>
      <c r="D1420" s="2"/>
      <c r="E1420" s="5">
        <f t="shared" si="48"/>
        <v>0</v>
      </c>
      <c r="F1420" s="6">
        <f t="shared" si="49"/>
        <v>0</v>
      </c>
    </row>
    <row r="1421" spans="1:6" x14ac:dyDescent="0.3">
      <c r="A1421" s="4"/>
      <c r="B1421" s="1"/>
      <c r="C1421" s="2"/>
      <c r="D1421" s="2"/>
      <c r="E1421" s="5">
        <f t="shared" si="48"/>
        <v>0</v>
      </c>
      <c r="F1421" s="6">
        <f t="shared" si="49"/>
        <v>0</v>
      </c>
    </row>
    <row r="1422" spans="1:6" x14ac:dyDescent="0.3">
      <c r="A1422" s="4"/>
      <c r="B1422" s="1"/>
      <c r="C1422" s="2"/>
      <c r="D1422" s="2"/>
      <c r="E1422" s="5">
        <f t="shared" si="48"/>
        <v>0</v>
      </c>
      <c r="F1422" s="6">
        <f t="shared" si="49"/>
        <v>0</v>
      </c>
    </row>
    <row r="1423" spans="1:6" x14ac:dyDescent="0.3">
      <c r="A1423" s="4"/>
      <c r="B1423" s="1"/>
      <c r="C1423" s="2"/>
      <c r="D1423" s="2"/>
      <c r="E1423" s="5">
        <f t="shared" si="48"/>
        <v>0</v>
      </c>
      <c r="F1423" s="6">
        <f t="shared" si="49"/>
        <v>0</v>
      </c>
    </row>
    <row r="1424" spans="1:6" x14ac:dyDescent="0.3">
      <c r="A1424" s="4"/>
      <c r="B1424" s="1"/>
      <c r="C1424" s="2"/>
      <c r="D1424" s="2"/>
      <c r="E1424" s="5">
        <f t="shared" si="48"/>
        <v>0</v>
      </c>
      <c r="F1424" s="6">
        <f t="shared" si="49"/>
        <v>0</v>
      </c>
    </row>
    <row r="1425" spans="1:6" x14ac:dyDescent="0.3">
      <c r="A1425" s="4"/>
      <c r="B1425" s="1"/>
      <c r="C1425" s="2"/>
      <c r="D1425" s="2"/>
      <c r="E1425" s="5">
        <f t="shared" si="48"/>
        <v>0</v>
      </c>
      <c r="F1425" s="6">
        <f t="shared" si="49"/>
        <v>0</v>
      </c>
    </row>
    <row r="1426" spans="1:6" x14ac:dyDescent="0.3">
      <c r="A1426" s="4"/>
      <c r="B1426" s="1"/>
      <c r="C1426" s="2"/>
      <c r="D1426" s="2"/>
      <c r="E1426" s="5">
        <f t="shared" si="48"/>
        <v>0</v>
      </c>
      <c r="F1426" s="6">
        <f t="shared" si="49"/>
        <v>0</v>
      </c>
    </row>
    <row r="1427" spans="1:6" x14ac:dyDescent="0.3">
      <c r="A1427" s="4"/>
      <c r="B1427" s="1"/>
      <c r="C1427" s="2"/>
      <c r="D1427" s="2"/>
      <c r="E1427" s="5">
        <f t="shared" si="48"/>
        <v>0</v>
      </c>
      <c r="F1427" s="6">
        <f t="shared" si="49"/>
        <v>0</v>
      </c>
    </row>
    <row r="1428" spans="1:6" x14ac:dyDescent="0.3">
      <c r="A1428" s="4"/>
      <c r="B1428" s="1"/>
      <c r="C1428" s="2"/>
      <c r="D1428" s="2"/>
      <c r="E1428" s="5">
        <f t="shared" si="48"/>
        <v>0</v>
      </c>
      <c r="F1428" s="6">
        <f t="shared" si="49"/>
        <v>0</v>
      </c>
    </row>
    <row r="1429" spans="1:6" x14ac:dyDescent="0.3">
      <c r="A1429" s="4"/>
      <c r="B1429" s="1"/>
      <c r="C1429" s="2"/>
      <c r="D1429" s="2"/>
      <c r="E1429" s="5">
        <f t="shared" si="48"/>
        <v>0</v>
      </c>
      <c r="F1429" s="6">
        <f t="shared" si="49"/>
        <v>0</v>
      </c>
    </row>
    <row r="1430" spans="1:6" x14ac:dyDescent="0.3">
      <c r="A1430" s="4"/>
      <c r="B1430" s="1"/>
      <c r="C1430" s="2"/>
      <c r="D1430" s="2"/>
      <c r="E1430" s="5">
        <f t="shared" si="48"/>
        <v>0</v>
      </c>
      <c r="F1430" s="6">
        <f t="shared" si="49"/>
        <v>0</v>
      </c>
    </row>
    <row r="1431" spans="1:6" x14ac:dyDescent="0.3">
      <c r="A1431" s="4"/>
      <c r="B1431" s="1"/>
      <c r="C1431" s="2"/>
      <c r="D1431" s="2"/>
      <c r="E1431" s="5">
        <f t="shared" si="48"/>
        <v>0</v>
      </c>
      <c r="F1431" s="6">
        <f t="shared" si="49"/>
        <v>0</v>
      </c>
    </row>
    <row r="1432" spans="1:6" x14ac:dyDescent="0.3">
      <c r="A1432" s="4"/>
      <c r="B1432" s="1"/>
      <c r="C1432" s="2"/>
      <c r="D1432" s="2"/>
      <c r="E1432" s="5">
        <f t="shared" si="48"/>
        <v>0</v>
      </c>
      <c r="F1432" s="6">
        <f t="shared" si="49"/>
        <v>0</v>
      </c>
    </row>
    <row r="1433" spans="1:6" x14ac:dyDescent="0.3">
      <c r="A1433" s="4"/>
      <c r="B1433" s="1"/>
      <c r="C1433" s="2"/>
      <c r="D1433" s="2"/>
      <c r="E1433" s="5">
        <f t="shared" si="48"/>
        <v>0</v>
      </c>
      <c r="F1433" s="6">
        <f t="shared" si="49"/>
        <v>0</v>
      </c>
    </row>
    <row r="1434" spans="1:6" x14ac:dyDescent="0.3">
      <c r="A1434" s="4"/>
      <c r="B1434" s="1"/>
      <c r="C1434" s="2"/>
      <c r="D1434" s="2"/>
      <c r="E1434" s="5">
        <f t="shared" si="48"/>
        <v>0</v>
      </c>
      <c r="F1434" s="6">
        <f t="shared" si="49"/>
        <v>0</v>
      </c>
    </row>
    <row r="1435" spans="1:6" x14ac:dyDescent="0.3">
      <c r="A1435" s="4"/>
      <c r="B1435" s="1"/>
      <c r="C1435" s="2"/>
      <c r="D1435" s="2"/>
      <c r="E1435" s="5">
        <f t="shared" si="48"/>
        <v>0</v>
      </c>
      <c r="F1435" s="6">
        <f t="shared" si="49"/>
        <v>0</v>
      </c>
    </row>
    <row r="1436" spans="1:6" x14ac:dyDescent="0.3">
      <c r="A1436" s="4"/>
      <c r="B1436" s="1"/>
      <c r="C1436" s="2"/>
      <c r="D1436" s="2"/>
      <c r="E1436" s="5">
        <f t="shared" si="48"/>
        <v>0</v>
      </c>
      <c r="F1436" s="6">
        <f t="shared" si="49"/>
        <v>0</v>
      </c>
    </row>
    <row r="1437" spans="1:6" x14ac:dyDescent="0.3">
      <c r="A1437" s="4"/>
      <c r="B1437" s="1"/>
      <c r="C1437" s="2"/>
      <c r="D1437" s="2"/>
      <c r="E1437" s="5">
        <f t="shared" si="48"/>
        <v>0</v>
      </c>
      <c r="F1437" s="6">
        <f t="shared" si="49"/>
        <v>0</v>
      </c>
    </row>
    <row r="1438" spans="1:6" x14ac:dyDescent="0.3">
      <c r="A1438" s="4"/>
      <c r="B1438" s="1"/>
      <c r="C1438" s="2"/>
      <c r="D1438" s="2"/>
      <c r="E1438" s="5">
        <f t="shared" si="48"/>
        <v>0</v>
      </c>
      <c r="F1438" s="6">
        <f t="shared" si="49"/>
        <v>0</v>
      </c>
    </row>
    <row r="1439" spans="1:6" x14ac:dyDescent="0.3">
      <c r="A1439" s="4"/>
      <c r="B1439" s="1"/>
      <c r="C1439" s="2"/>
      <c r="D1439" s="2"/>
      <c r="E1439" s="5">
        <f t="shared" si="48"/>
        <v>0</v>
      </c>
      <c r="F1439" s="6">
        <f t="shared" si="49"/>
        <v>0</v>
      </c>
    </row>
    <row r="1440" spans="1:6" x14ac:dyDescent="0.3">
      <c r="A1440" s="4"/>
      <c r="B1440" s="1"/>
      <c r="C1440" s="2"/>
      <c r="D1440" s="2"/>
      <c r="E1440" s="5">
        <f t="shared" si="48"/>
        <v>0</v>
      </c>
      <c r="F1440" s="6">
        <f t="shared" si="49"/>
        <v>0</v>
      </c>
    </row>
    <row r="1441" spans="1:6" x14ac:dyDescent="0.3">
      <c r="A1441" s="4"/>
      <c r="B1441" s="1"/>
      <c r="C1441" s="2"/>
      <c r="D1441" s="2"/>
      <c r="E1441" s="5">
        <f t="shared" si="48"/>
        <v>0</v>
      </c>
      <c r="F1441" s="6">
        <f t="shared" si="49"/>
        <v>0</v>
      </c>
    </row>
    <row r="1442" spans="1:6" x14ac:dyDescent="0.3">
      <c r="A1442" s="4"/>
      <c r="B1442" s="1"/>
      <c r="C1442" s="2"/>
      <c r="D1442" s="2"/>
      <c r="E1442" s="5">
        <f t="shared" si="48"/>
        <v>0</v>
      </c>
      <c r="F1442" s="6">
        <f t="shared" si="49"/>
        <v>0</v>
      </c>
    </row>
    <row r="1443" spans="1:6" x14ac:dyDescent="0.3">
      <c r="A1443" s="4"/>
      <c r="B1443" s="1"/>
      <c r="C1443" s="2"/>
      <c r="D1443" s="2"/>
      <c r="E1443" s="5">
        <f t="shared" si="48"/>
        <v>0</v>
      </c>
      <c r="F1443" s="6">
        <f t="shared" si="49"/>
        <v>0</v>
      </c>
    </row>
    <row r="1444" spans="1:6" x14ac:dyDescent="0.3">
      <c r="A1444" s="4"/>
      <c r="B1444" s="1"/>
      <c r="C1444" s="2"/>
      <c r="D1444" s="2"/>
      <c r="E1444" s="5">
        <f t="shared" si="48"/>
        <v>0</v>
      </c>
      <c r="F1444" s="6">
        <f t="shared" si="49"/>
        <v>0</v>
      </c>
    </row>
    <row r="1445" spans="1:6" x14ac:dyDescent="0.3">
      <c r="A1445" s="4"/>
      <c r="B1445" s="1"/>
      <c r="C1445" s="2"/>
      <c r="D1445" s="2"/>
      <c r="E1445" s="5">
        <f t="shared" si="48"/>
        <v>0</v>
      </c>
      <c r="F1445" s="6">
        <f t="shared" si="49"/>
        <v>0</v>
      </c>
    </row>
    <row r="1446" spans="1:6" x14ac:dyDescent="0.3">
      <c r="A1446" s="4"/>
      <c r="B1446" s="1"/>
      <c r="C1446" s="2"/>
      <c r="D1446" s="2"/>
      <c r="E1446" s="5">
        <f t="shared" si="48"/>
        <v>0</v>
      </c>
      <c r="F1446" s="6">
        <f t="shared" si="49"/>
        <v>0</v>
      </c>
    </row>
    <row r="1447" spans="1:6" x14ac:dyDescent="0.3">
      <c r="A1447" s="4"/>
      <c r="B1447" s="1"/>
      <c r="C1447" s="2"/>
      <c r="D1447" s="2"/>
      <c r="E1447" s="5">
        <f t="shared" si="48"/>
        <v>0</v>
      </c>
      <c r="F1447" s="6">
        <f t="shared" si="49"/>
        <v>0</v>
      </c>
    </row>
    <row r="1448" spans="1:6" x14ac:dyDescent="0.3">
      <c r="A1448" s="4"/>
      <c r="B1448" s="1"/>
      <c r="C1448" s="2"/>
      <c r="D1448" s="2"/>
      <c r="E1448" s="5">
        <f t="shared" si="48"/>
        <v>0</v>
      </c>
      <c r="F1448" s="6">
        <f t="shared" si="49"/>
        <v>0</v>
      </c>
    </row>
    <row r="1449" spans="1:6" x14ac:dyDescent="0.3">
      <c r="A1449" s="4"/>
      <c r="B1449" s="1"/>
      <c r="C1449" s="2"/>
      <c r="D1449" s="2"/>
      <c r="E1449" s="5">
        <f t="shared" si="48"/>
        <v>0</v>
      </c>
      <c r="F1449" s="6">
        <f t="shared" si="49"/>
        <v>0</v>
      </c>
    </row>
    <row r="1450" spans="1:6" x14ac:dyDescent="0.3">
      <c r="A1450" s="4"/>
      <c r="B1450" s="1"/>
      <c r="C1450" s="2"/>
      <c r="D1450" s="2"/>
      <c r="E1450" s="5">
        <f t="shared" si="48"/>
        <v>0</v>
      </c>
      <c r="F1450" s="6">
        <f t="shared" si="49"/>
        <v>0</v>
      </c>
    </row>
    <row r="1451" spans="1:6" x14ac:dyDescent="0.3">
      <c r="A1451" s="4"/>
      <c r="B1451" s="1"/>
      <c r="C1451" s="2"/>
      <c r="D1451" s="2"/>
      <c r="E1451" s="5">
        <f t="shared" si="48"/>
        <v>0</v>
      </c>
      <c r="F1451" s="6">
        <f t="shared" si="49"/>
        <v>0</v>
      </c>
    </row>
    <row r="1452" spans="1:6" x14ac:dyDescent="0.3">
      <c r="A1452" s="4"/>
      <c r="B1452" s="1"/>
      <c r="C1452" s="2"/>
      <c r="D1452" s="2"/>
      <c r="E1452" s="5">
        <f t="shared" si="48"/>
        <v>0</v>
      </c>
      <c r="F1452" s="6">
        <f t="shared" si="49"/>
        <v>0</v>
      </c>
    </row>
    <row r="1453" spans="1:6" x14ac:dyDescent="0.3">
      <c r="A1453" s="4"/>
      <c r="B1453" s="1"/>
      <c r="C1453" s="2"/>
      <c r="D1453" s="2"/>
      <c r="E1453" s="5">
        <f t="shared" si="48"/>
        <v>0</v>
      </c>
      <c r="F1453" s="6">
        <f t="shared" si="49"/>
        <v>0</v>
      </c>
    </row>
    <row r="1454" spans="1:6" x14ac:dyDescent="0.3">
      <c r="A1454" s="4"/>
      <c r="B1454" s="1"/>
      <c r="C1454" s="2"/>
      <c r="D1454" s="2"/>
      <c r="E1454" s="5">
        <f t="shared" si="48"/>
        <v>0</v>
      </c>
      <c r="F1454" s="6">
        <f t="shared" si="49"/>
        <v>0</v>
      </c>
    </row>
    <row r="1455" spans="1:6" x14ac:dyDescent="0.3">
      <c r="A1455" s="4"/>
      <c r="B1455" s="1"/>
      <c r="C1455" s="2"/>
      <c r="D1455" s="2"/>
      <c r="E1455" s="5">
        <f t="shared" si="48"/>
        <v>0</v>
      </c>
      <c r="F1455" s="6">
        <f t="shared" si="49"/>
        <v>0</v>
      </c>
    </row>
    <row r="1456" spans="1:6" x14ac:dyDescent="0.3">
      <c r="A1456" s="4"/>
      <c r="B1456" s="1"/>
      <c r="C1456" s="2"/>
      <c r="D1456" s="2"/>
      <c r="E1456" s="5">
        <f t="shared" si="48"/>
        <v>0</v>
      </c>
      <c r="F1456" s="6">
        <f t="shared" si="49"/>
        <v>0</v>
      </c>
    </row>
    <row r="1457" spans="1:6" x14ac:dyDescent="0.3">
      <c r="A1457" s="4"/>
      <c r="B1457" s="1"/>
      <c r="C1457" s="2"/>
      <c r="D1457" s="2"/>
      <c r="E1457" s="5">
        <f t="shared" si="48"/>
        <v>0</v>
      </c>
      <c r="F1457" s="6">
        <f t="shared" si="49"/>
        <v>0</v>
      </c>
    </row>
    <row r="1458" spans="1:6" x14ac:dyDescent="0.3">
      <c r="A1458" s="4"/>
      <c r="B1458" s="1"/>
      <c r="C1458" s="2"/>
      <c r="D1458" s="2"/>
      <c r="E1458" s="5">
        <f t="shared" si="48"/>
        <v>0</v>
      </c>
      <c r="F1458" s="6">
        <f t="shared" si="49"/>
        <v>0</v>
      </c>
    </row>
    <row r="1459" spans="1:6" x14ac:dyDescent="0.3">
      <c r="A1459" s="4"/>
      <c r="B1459" s="1"/>
      <c r="C1459" s="2"/>
      <c r="D1459" s="2"/>
      <c r="E1459" s="5">
        <f t="shared" si="48"/>
        <v>0</v>
      </c>
      <c r="F1459" s="6">
        <f t="shared" si="49"/>
        <v>0</v>
      </c>
    </row>
    <row r="1460" spans="1:6" x14ac:dyDescent="0.3">
      <c r="A1460" s="4"/>
      <c r="B1460" s="1"/>
      <c r="C1460" s="2"/>
      <c r="D1460" s="2"/>
      <c r="E1460" s="5">
        <f t="shared" si="48"/>
        <v>0</v>
      </c>
      <c r="F1460" s="6">
        <f t="shared" si="49"/>
        <v>0</v>
      </c>
    </row>
    <row r="1461" spans="1:6" x14ac:dyDescent="0.3">
      <c r="A1461" s="4"/>
      <c r="B1461" s="1"/>
      <c r="C1461" s="2"/>
      <c r="D1461" s="2"/>
      <c r="E1461" s="5">
        <f t="shared" si="48"/>
        <v>0</v>
      </c>
      <c r="F1461" s="6">
        <f t="shared" si="49"/>
        <v>0</v>
      </c>
    </row>
    <row r="1462" spans="1:6" x14ac:dyDescent="0.3">
      <c r="A1462" s="4"/>
      <c r="B1462" s="1"/>
      <c r="C1462" s="2"/>
      <c r="D1462" s="2"/>
      <c r="E1462" s="5">
        <f t="shared" si="48"/>
        <v>0</v>
      </c>
      <c r="F1462" s="6">
        <f t="shared" si="49"/>
        <v>0</v>
      </c>
    </row>
    <row r="1463" spans="1:6" x14ac:dyDescent="0.3">
      <c r="A1463" s="4"/>
      <c r="B1463" s="1"/>
      <c r="C1463" s="2"/>
      <c r="D1463" s="2"/>
      <c r="E1463" s="5">
        <f t="shared" si="48"/>
        <v>0</v>
      </c>
      <c r="F1463" s="6">
        <f t="shared" si="49"/>
        <v>0</v>
      </c>
    </row>
    <row r="1464" spans="1:6" x14ac:dyDescent="0.3">
      <c r="A1464" s="4"/>
      <c r="B1464" s="1"/>
      <c r="C1464" s="2"/>
      <c r="D1464" s="2"/>
      <c r="E1464" s="5">
        <f t="shared" si="48"/>
        <v>0</v>
      </c>
      <c r="F1464" s="6">
        <f t="shared" si="49"/>
        <v>0</v>
      </c>
    </row>
    <row r="1465" spans="1:6" x14ac:dyDescent="0.3">
      <c r="A1465" s="4"/>
      <c r="B1465" s="1"/>
      <c r="C1465" s="2"/>
      <c r="D1465" s="2"/>
      <c r="E1465" s="5">
        <f t="shared" si="48"/>
        <v>0</v>
      </c>
      <c r="F1465" s="6">
        <f t="shared" si="49"/>
        <v>0</v>
      </c>
    </row>
    <row r="1466" spans="1:6" x14ac:dyDescent="0.3">
      <c r="A1466" s="4"/>
      <c r="B1466" s="1"/>
      <c r="C1466" s="2"/>
      <c r="D1466" s="2"/>
      <c r="E1466" s="5">
        <f t="shared" si="48"/>
        <v>0</v>
      </c>
      <c r="F1466" s="6">
        <f t="shared" si="49"/>
        <v>0</v>
      </c>
    </row>
    <row r="1467" spans="1:6" x14ac:dyDescent="0.3">
      <c r="A1467" s="4"/>
      <c r="B1467" s="1"/>
      <c r="C1467" s="2"/>
      <c r="D1467" s="2"/>
      <c r="E1467" s="5">
        <f t="shared" si="48"/>
        <v>0</v>
      </c>
      <c r="F1467" s="6">
        <f t="shared" si="49"/>
        <v>0</v>
      </c>
    </row>
    <row r="1468" spans="1:6" x14ac:dyDescent="0.3">
      <c r="A1468" s="4"/>
      <c r="B1468" s="1"/>
      <c r="C1468" s="2"/>
      <c r="D1468" s="2"/>
      <c r="E1468" s="5">
        <f t="shared" si="48"/>
        <v>0</v>
      </c>
      <c r="F1468" s="6">
        <f t="shared" si="49"/>
        <v>0</v>
      </c>
    </row>
    <row r="1469" spans="1:6" x14ac:dyDescent="0.3">
      <c r="A1469" s="4"/>
      <c r="B1469" s="1"/>
      <c r="C1469" s="2"/>
      <c r="D1469" s="2"/>
      <c r="E1469" s="5">
        <f t="shared" si="48"/>
        <v>0</v>
      </c>
      <c r="F1469" s="6">
        <f t="shared" si="49"/>
        <v>0</v>
      </c>
    </row>
    <row r="1470" spans="1:6" x14ac:dyDescent="0.3">
      <c r="A1470" s="4"/>
      <c r="B1470" s="1"/>
      <c r="C1470" s="2"/>
      <c r="D1470" s="2"/>
      <c r="E1470" s="5">
        <f t="shared" si="48"/>
        <v>0</v>
      </c>
      <c r="F1470" s="6">
        <f t="shared" si="49"/>
        <v>0</v>
      </c>
    </row>
    <row r="1471" spans="1:6" x14ac:dyDescent="0.3">
      <c r="A1471" s="4"/>
      <c r="B1471" s="1"/>
      <c r="C1471" s="2"/>
      <c r="D1471" s="2"/>
      <c r="E1471" s="5">
        <f t="shared" si="48"/>
        <v>0</v>
      </c>
      <c r="F1471" s="6">
        <f t="shared" si="49"/>
        <v>0</v>
      </c>
    </row>
    <row r="1472" spans="1:6" x14ac:dyDescent="0.3">
      <c r="A1472" s="4"/>
      <c r="B1472" s="1"/>
      <c r="C1472" s="2"/>
      <c r="D1472" s="2"/>
      <c r="E1472" s="5">
        <f t="shared" si="48"/>
        <v>0</v>
      </c>
      <c r="F1472" s="6">
        <f t="shared" si="49"/>
        <v>0</v>
      </c>
    </row>
    <row r="1473" spans="1:6" x14ac:dyDescent="0.3">
      <c r="A1473" s="4"/>
      <c r="B1473" s="1"/>
      <c r="C1473" s="2"/>
      <c r="D1473" s="2"/>
      <c r="E1473" s="5">
        <f t="shared" si="48"/>
        <v>0</v>
      </c>
      <c r="F1473" s="6">
        <f t="shared" si="49"/>
        <v>0</v>
      </c>
    </row>
    <row r="1474" spans="1:6" x14ac:dyDescent="0.3">
      <c r="A1474" s="4"/>
      <c r="B1474" s="1"/>
      <c r="C1474" s="2"/>
      <c r="D1474" s="2"/>
      <c r="E1474" s="5">
        <f t="shared" si="48"/>
        <v>0</v>
      </c>
      <c r="F1474" s="6">
        <f t="shared" si="49"/>
        <v>0</v>
      </c>
    </row>
    <row r="1475" spans="1:6" x14ac:dyDescent="0.3">
      <c r="A1475" s="4"/>
      <c r="B1475" s="1"/>
      <c r="C1475" s="2"/>
      <c r="D1475" s="2"/>
      <c r="E1475" s="5">
        <f t="shared" ref="E1475:E1538" si="50">D1475-C1475</f>
        <v>0</v>
      </c>
      <c r="F1475" s="6">
        <f t="shared" ref="F1475:F1538" si="51">ROUND(VALUE(E1475)*4,2)</f>
        <v>0</v>
      </c>
    </row>
    <row r="1476" spans="1:6" x14ac:dyDescent="0.3">
      <c r="A1476" s="4"/>
      <c r="B1476" s="1"/>
      <c r="C1476" s="2"/>
      <c r="D1476" s="2"/>
      <c r="E1476" s="5">
        <f t="shared" si="50"/>
        <v>0</v>
      </c>
      <c r="F1476" s="6">
        <f t="shared" si="51"/>
        <v>0</v>
      </c>
    </row>
    <row r="1477" spans="1:6" x14ac:dyDescent="0.3">
      <c r="A1477" s="4"/>
      <c r="B1477" s="1"/>
      <c r="C1477" s="2"/>
      <c r="D1477" s="2"/>
      <c r="E1477" s="5">
        <f t="shared" si="50"/>
        <v>0</v>
      </c>
      <c r="F1477" s="6">
        <f t="shared" si="51"/>
        <v>0</v>
      </c>
    </row>
    <row r="1478" spans="1:6" x14ac:dyDescent="0.3">
      <c r="A1478" s="4"/>
      <c r="B1478" s="1"/>
      <c r="C1478" s="2"/>
      <c r="D1478" s="2"/>
      <c r="E1478" s="5">
        <f t="shared" si="50"/>
        <v>0</v>
      </c>
      <c r="F1478" s="6">
        <f t="shared" si="51"/>
        <v>0</v>
      </c>
    </row>
    <row r="1479" spans="1:6" x14ac:dyDescent="0.3">
      <c r="A1479" s="4"/>
      <c r="B1479" s="1"/>
      <c r="C1479" s="2"/>
      <c r="D1479" s="2"/>
      <c r="E1479" s="5">
        <f t="shared" si="50"/>
        <v>0</v>
      </c>
      <c r="F1479" s="6">
        <f t="shared" si="51"/>
        <v>0</v>
      </c>
    </row>
    <row r="1480" spans="1:6" x14ac:dyDescent="0.3">
      <c r="A1480" s="4"/>
      <c r="B1480" s="1"/>
      <c r="C1480" s="2"/>
      <c r="D1480" s="2"/>
      <c r="E1480" s="5">
        <f t="shared" si="50"/>
        <v>0</v>
      </c>
      <c r="F1480" s="6">
        <f t="shared" si="51"/>
        <v>0</v>
      </c>
    </row>
    <row r="1481" spans="1:6" x14ac:dyDescent="0.3">
      <c r="A1481" s="4"/>
      <c r="B1481" s="1"/>
      <c r="C1481" s="2"/>
      <c r="D1481" s="2"/>
      <c r="E1481" s="5">
        <f t="shared" si="50"/>
        <v>0</v>
      </c>
      <c r="F1481" s="6">
        <f t="shared" si="51"/>
        <v>0</v>
      </c>
    </row>
    <row r="1482" spans="1:6" x14ac:dyDescent="0.3">
      <c r="A1482" s="4"/>
      <c r="B1482" s="1"/>
      <c r="C1482" s="2"/>
      <c r="D1482" s="2"/>
      <c r="E1482" s="5">
        <f t="shared" si="50"/>
        <v>0</v>
      </c>
      <c r="F1482" s="6">
        <f t="shared" si="51"/>
        <v>0</v>
      </c>
    </row>
    <row r="1483" spans="1:6" x14ac:dyDescent="0.3">
      <c r="A1483" s="4"/>
      <c r="B1483" s="1"/>
      <c r="C1483" s="2"/>
      <c r="D1483" s="2"/>
      <c r="E1483" s="5">
        <f t="shared" si="50"/>
        <v>0</v>
      </c>
      <c r="F1483" s="6">
        <f t="shared" si="51"/>
        <v>0</v>
      </c>
    </row>
    <row r="1484" spans="1:6" x14ac:dyDescent="0.3">
      <c r="A1484" s="4"/>
      <c r="B1484" s="1"/>
      <c r="C1484" s="2"/>
      <c r="D1484" s="2"/>
      <c r="E1484" s="5">
        <f t="shared" si="50"/>
        <v>0</v>
      </c>
      <c r="F1484" s="6">
        <f t="shared" si="51"/>
        <v>0</v>
      </c>
    </row>
    <row r="1485" spans="1:6" x14ac:dyDescent="0.3">
      <c r="A1485" s="4"/>
      <c r="B1485" s="1"/>
      <c r="C1485" s="2"/>
      <c r="D1485" s="2"/>
      <c r="E1485" s="5">
        <f t="shared" si="50"/>
        <v>0</v>
      </c>
      <c r="F1485" s="6">
        <f t="shared" si="51"/>
        <v>0</v>
      </c>
    </row>
    <row r="1486" spans="1:6" x14ac:dyDescent="0.3">
      <c r="A1486" s="4"/>
      <c r="B1486" s="1"/>
      <c r="C1486" s="2"/>
      <c r="D1486" s="2"/>
      <c r="E1486" s="5">
        <f t="shared" si="50"/>
        <v>0</v>
      </c>
      <c r="F1486" s="6">
        <f t="shared" si="51"/>
        <v>0</v>
      </c>
    </row>
    <row r="1487" spans="1:6" x14ac:dyDescent="0.3">
      <c r="A1487" s="4"/>
      <c r="B1487" s="1"/>
      <c r="C1487" s="2"/>
      <c r="D1487" s="2"/>
      <c r="E1487" s="5">
        <f t="shared" si="50"/>
        <v>0</v>
      </c>
      <c r="F1487" s="6">
        <f t="shared" si="51"/>
        <v>0</v>
      </c>
    </row>
    <row r="1488" spans="1:6" x14ac:dyDescent="0.3">
      <c r="A1488" s="4"/>
      <c r="B1488" s="1"/>
      <c r="C1488" s="2"/>
      <c r="D1488" s="2"/>
      <c r="E1488" s="5">
        <f t="shared" si="50"/>
        <v>0</v>
      </c>
      <c r="F1488" s="6">
        <f t="shared" si="51"/>
        <v>0</v>
      </c>
    </row>
    <row r="1489" spans="1:6" x14ac:dyDescent="0.3">
      <c r="A1489" s="4"/>
      <c r="B1489" s="1"/>
      <c r="C1489" s="2"/>
      <c r="D1489" s="2"/>
      <c r="E1489" s="5">
        <f t="shared" si="50"/>
        <v>0</v>
      </c>
      <c r="F1489" s="6">
        <f t="shared" si="51"/>
        <v>0</v>
      </c>
    </row>
    <row r="1490" spans="1:6" x14ac:dyDescent="0.3">
      <c r="A1490" s="4"/>
      <c r="B1490" s="1"/>
      <c r="C1490" s="2"/>
      <c r="D1490" s="2"/>
      <c r="E1490" s="5">
        <f t="shared" si="50"/>
        <v>0</v>
      </c>
      <c r="F1490" s="6">
        <f t="shared" si="51"/>
        <v>0</v>
      </c>
    </row>
    <row r="1491" spans="1:6" x14ac:dyDescent="0.3">
      <c r="A1491" s="4"/>
      <c r="B1491" s="1"/>
      <c r="C1491" s="2"/>
      <c r="D1491" s="2"/>
      <c r="E1491" s="5">
        <f t="shared" si="50"/>
        <v>0</v>
      </c>
      <c r="F1491" s="6">
        <f t="shared" si="51"/>
        <v>0</v>
      </c>
    </row>
    <row r="1492" spans="1:6" x14ac:dyDescent="0.3">
      <c r="A1492" s="4"/>
      <c r="B1492" s="1"/>
      <c r="C1492" s="2"/>
      <c r="D1492" s="2"/>
      <c r="E1492" s="5">
        <f t="shared" si="50"/>
        <v>0</v>
      </c>
      <c r="F1492" s="6">
        <f t="shared" si="51"/>
        <v>0</v>
      </c>
    </row>
    <row r="1493" spans="1:6" x14ac:dyDescent="0.3">
      <c r="A1493" s="4"/>
      <c r="B1493" s="1"/>
      <c r="C1493" s="2"/>
      <c r="D1493" s="2"/>
      <c r="E1493" s="5">
        <f t="shared" si="50"/>
        <v>0</v>
      </c>
      <c r="F1493" s="6">
        <f t="shared" si="51"/>
        <v>0</v>
      </c>
    </row>
    <row r="1494" spans="1:6" x14ac:dyDescent="0.3">
      <c r="A1494" s="4"/>
      <c r="B1494" s="1"/>
      <c r="C1494" s="2"/>
      <c r="D1494" s="2"/>
      <c r="E1494" s="5">
        <f t="shared" si="50"/>
        <v>0</v>
      </c>
      <c r="F1494" s="6">
        <f t="shared" si="51"/>
        <v>0</v>
      </c>
    </row>
    <row r="1495" spans="1:6" x14ac:dyDescent="0.3">
      <c r="A1495" s="4"/>
      <c r="B1495" s="1"/>
      <c r="C1495" s="2"/>
      <c r="D1495" s="2"/>
      <c r="E1495" s="5">
        <f t="shared" si="50"/>
        <v>0</v>
      </c>
      <c r="F1495" s="6">
        <f t="shared" si="51"/>
        <v>0</v>
      </c>
    </row>
    <row r="1496" spans="1:6" x14ac:dyDescent="0.3">
      <c r="A1496" s="4"/>
      <c r="B1496" s="1"/>
      <c r="C1496" s="2"/>
      <c r="D1496" s="2"/>
      <c r="E1496" s="5">
        <f t="shared" si="50"/>
        <v>0</v>
      </c>
      <c r="F1496" s="6">
        <f t="shared" si="51"/>
        <v>0</v>
      </c>
    </row>
    <row r="1497" spans="1:6" x14ac:dyDescent="0.3">
      <c r="A1497" s="4"/>
      <c r="B1497" s="1"/>
      <c r="C1497" s="2"/>
      <c r="D1497" s="2"/>
      <c r="E1497" s="5">
        <f t="shared" si="50"/>
        <v>0</v>
      </c>
      <c r="F1497" s="6">
        <f t="shared" si="51"/>
        <v>0</v>
      </c>
    </row>
    <row r="1498" spans="1:6" x14ac:dyDescent="0.3">
      <c r="A1498" s="4"/>
      <c r="B1498" s="1"/>
      <c r="C1498" s="2"/>
      <c r="D1498" s="2"/>
      <c r="E1498" s="5">
        <f t="shared" si="50"/>
        <v>0</v>
      </c>
      <c r="F1498" s="6">
        <f t="shared" si="51"/>
        <v>0</v>
      </c>
    </row>
    <row r="1499" spans="1:6" x14ac:dyDescent="0.3">
      <c r="A1499" s="4"/>
      <c r="B1499" s="1"/>
      <c r="C1499" s="2"/>
      <c r="D1499" s="2"/>
      <c r="E1499" s="5">
        <f t="shared" si="50"/>
        <v>0</v>
      </c>
      <c r="F1499" s="6">
        <f t="shared" si="51"/>
        <v>0</v>
      </c>
    </row>
    <row r="1500" spans="1:6" x14ac:dyDescent="0.3">
      <c r="A1500" s="4"/>
      <c r="B1500" s="1"/>
      <c r="C1500" s="2"/>
      <c r="D1500" s="2"/>
      <c r="E1500" s="5">
        <f t="shared" si="50"/>
        <v>0</v>
      </c>
      <c r="F1500" s="6">
        <f t="shared" si="51"/>
        <v>0</v>
      </c>
    </row>
    <row r="1501" spans="1:6" x14ac:dyDescent="0.3">
      <c r="A1501" s="4"/>
      <c r="B1501" s="1"/>
      <c r="C1501" s="2"/>
      <c r="D1501" s="2"/>
      <c r="E1501" s="5">
        <f t="shared" si="50"/>
        <v>0</v>
      </c>
      <c r="F1501" s="6">
        <f t="shared" si="51"/>
        <v>0</v>
      </c>
    </row>
    <row r="1502" spans="1:6" x14ac:dyDescent="0.3">
      <c r="A1502" s="4"/>
      <c r="B1502" s="1"/>
      <c r="C1502" s="2"/>
      <c r="D1502" s="2"/>
      <c r="E1502" s="5">
        <f t="shared" si="50"/>
        <v>0</v>
      </c>
      <c r="F1502" s="6">
        <f t="shared" si="51"/>
        <v>0</v>
      </c>
    </row>
    <row r="1503" spans="1:6" x14ac:dyDescent="0.3">
      <c r="A1503" s="4"/>
      <c r="B1503" s="1"/>
      <c r="C1503" s="2"/>
      <c r="D1503" s="2"/>
      <c r="E1503" s="5">
        <f t="shared" si="50"/>
        <v>0</v>
      </c>
      <c r="F1503" s="6">
        <f t="shared" si="51"/>
        <v>0</v>
      </c>
    </row>
    <row r="1504" spans="1:6" x14ac:dyDescent="0.3">
      <c r="A1504" s="4"/>
      <c r="B1504" s="1"/>
      <c r="C1504" s="2"/>
      <c r="D1504" s="2"/>
      <c r="E1504" s="5">
        <f t="shared" si="50"/>
        <v>0</v>
      </c>
      <c r="F1504" s="6">
        <f t="shared" si="51"/>
        <v>0</v>
      </c>
    </row>
    <row r="1505" spans="1:6" x14ac:dyDescent="0.3">
      <c r="A1505" s="4"/>
      <c r="B1505" s="1"/>
      <c r="C1505" s="2"/>
      <c r="D1505" s="2"/>
      <c r="E1505" s="5">
        <f t="shared" si="50"/>
        <v>0</v>
      </c>
      <c r="F1505" s="6">
        <f t="shared" si="51"/>
        <v>0</v>
      </c>
    </row>
    <row r="1506" spans="1:6" x14ac:dyDescent="0.3">
      <c r="A1506" s="4"/>
      <c r="B1506" s="1"/>
      <c r="C1506" s="2"/>
      <c r="D1506" s="2"/>
      <c r="E1506" s="5">
        <f t="shared" si="50"/>
        <v>0</v>
      </c>
      <c r="F1506" s="6">
        <f t="shared" si="51"/>
        <v>0</v>
      </c>
    </row>
    <row r="1507" spans="1:6" x14ac:dyDescent="0.3">
      <c r="A1507" s="4"/>
      <c r="B1507" s="1"/>
      <c r="C1507" s="2"/>
      <c r="D1507" s="2"/>
      <c r="E1507" s="5">
        <f t="shared" si="50"/>
        <v>0</v>
      </c>
      <c r="F1507" s="6">
        <f t="shared" si="51"/>
        <v>0</v>
      </c>
    </row>
    <row r="1508" spans="1:6" x14ac:dyDescent="0.3">
      <c r="A1508" s="4"/>
      <c r="B1508" s="1"/>
      <c r="C1508" s="2"/>
      <c r="D1508" s="2"/>
      <c r="E1508" s="5">
        <f t="shared" si="50"/>
        <v>0</v>
      </c>
      <c r="F1508" s="6">
        <f t="shared" si="51"/>
        <v>0</v>
      </c>
    </row>
    <row r="1509" spans="1:6" x14ac:dyDescent="0.3">
      <c r="A1509" s="4"/>
      <c r="B1509" s="1"/>
      <c r="C1509" s="2"/>
      <c r="D1509" s="2"/>
      <c r="E1509" s="5">
        <f t="shared" si="50"/>
        <v>0</v>
      </c>
      <c r="F1509" s="6">
        <f t="shared" si="51"/>
        <v>0</v>
      </c>
    </row>
    <row r="1510" spans="1:6" x14ac:dyDescent="0.3">
      <c r="A1510" s="4"/>
      <c r="B1510" s="1"/>
      <c r="C1510" s="2"/>
      <c r="D1510" s="2"/>
      <c r="E1510" s="5">
        <f t="shared" si="50"/>
        <v>0</v>
      </c>
      <c r="F1510" s="6">
        <f t="shared" si="51"/>
        <v>0</v>
      </c>
    </row>
    <row r="1511" spans="1:6" x14ac:dyDescent="0.3">
      <c r="A1511" s="4"/>
      <c r="B1511" s="1"/>
      <c r="C1511" s="2"/>
      <c r="D1511" s="2"/>
      <c r="E1511" s="5">
        <f t="shared" si="50"/>
        <v>0</v>
      </c>
      <c r="F1511" s="6">
        <f t="shared" si="51"/>
        <v>0</v>
      </c>
    </row>
    <row r="1512" spans="1:6" x14ac:dyDescent="0.3">
      <c r="A1512" s="4"/>
      <c r="B1512" s="1"/>
      <c r="C1512" s="2"/>
      <c r="D1512" s="2"/>
      <c r="E1512" s="5">
        <f t="shared" si="50"/>
        <v>0</v>
      </c>
      <c r="F1512" s="6">
        <f t="shared" si="51"/>
        <v>0</v>
      </c>
    </row>
    <row r="1513" spans="1:6" x14ac:dyDescent="0.3">
      <c r="A1513" s="4"/>
      <c r="B1513" s="1"/>
      <c r="C1513" s="2"/>
      <c r="D1513" s="2"/>
      <c r="E1513" s="5">
        <f t="shared" si="50"/>
        <v>0</v>
      </c>
      <c r="F1513" s="6">
        <f t="shared" si="51"/>
        <v>0</v>
      </c>
    </row>
    <row r="1514" spans="1:6" x14ac:dyDescent="0.3">
      <c r="A1514" s="4"/>
      <c r="B1514" s="1"/>
      <c r="C1514" s="2"/>
      <c r="D1514" s="2"/>
      <c r="E1514" s="5">
        <f t="shared" si="50"/>
        <v>0</v>
      </c>
      <c r="F1514" s="6">
        <f t="shared" si="51"/>
        <v>0</v>
      </c>
    </row>
    <row r="1515" spans="1:6" x14ac:dyDescent="0.3">
      <c r="A1515" s="4"/>
      <c r="B1515" s="1"/>
      <c r="C1515" s="2"/>
      <c r="D1515" s="2"/>
      <c r="E1515" s="5">
        <f t="shared" si="50"/>
        <v>0</v>
      </c>
      <c r="F1515" s="6">
        <f t="shared" si="51"/>
        <v>0</v>
      </c>
    </row>
    <row r="1516" spans="1:6" x14ac:dyDescent="0.3">
      <c r="A1516" s="4"/>
      <c r="B1516" s="1"/>
      <c r="C1516" s="2"/>
      <c r="D1516" s="2"/>
      <c r="E1516" s="5">
        <f t="shared" si="50"/>
        <v>0</v>
      </c>
      <c r="F1516" s="6">
        <f t="shared" si="51"/>
        <v>0</v>
      </c>
    </row>
    <row r="1517" spans="1:6" x14ac:dyDescent="0.3">
      <c r="A1517" s="4"/>
      <c r="B1517" s="1"/>
      <c r="C1517" s="2"/>
      <c r="D1517" s="2"/>
      <c r="E1517" s="5">
        <f t="shared" si="50"/>
        <v>0</v>
      </c>
      <c r="F1517" s="6">
        <f t="shared" si="51"/>
        <v>0</v>
      </c>
    </row>
    <row r="1518" spans="1:6" x14ac:dyDescent="0.3">
      <c r="A1518" s="4"/>
      <c r="B1518" s="1"/>
      <c r="C1518" s="2"/>
      <c r="D1518" s="2"/>
      <c r="E1518" s="5">
        <f t="shared" si="50"/>
        <v>0</v>
      </c>
      <c r="F1518" s="6">
        <f t="shared" si="51"/>
        <v>0</v>
      </c>
    </row>
    <row r="1519" spans="1:6" x14ac:dyDescent="0.3">
      <c r="A1519" s="4"/>
      <c r="B1519" s="1"/>
      <c r="C1519" s="2"/>
      <c r="D1519" s="2"/>
      <c r="E1519" s="5">
        <f t="shared" si="50"/>
        <v>0</v>
      </c>
      <c r="F1519" s="6">
        <f t="shared" si="51"/>
        <v>0</v>
      </c>
    </row>
    <row r="1520" spans="1:6" x14ac:dyDescent="0.3">
      <c r="A1520" s="4"/>
      <c r="B1520" s="1"/>
      <c r="C1520" s="2"/>
      <c r="D1520" s="2"/>
      <c r="E1520" s="5">
        <f t="shared" si="50"/>
        <v>0</v>
      </c>
      <c r="F1520" s="6">
        <f t="shared" si="51"/>
        <v>0</v>
      </c>
    </row>
    <row r="1521" spans="1:6" x14ac:dyDescent="0.3">
      <c r="A1521" s="4"/>
      <c r="B1521" s="1"/>
      <c r="C1521" s="2"/>
      <c r="D1521" s="2"/>
      <c r="E1521" s="5">
        <f t="shared" si="50"/>
        <v>0</v>
      </c>
      <c r="F1521" s="6">
        <f t="shared" si="51"/>
        <v>0</v>
      </c>
    </row>
    <row r="1522" spans="1:6" x14ac:dyDescent="0.3">
      <c r="A1522" s="4"/>
      <c r="B1522" s="1"/>
      <c r="C1522" s="2"/>
      <c r="D1522" s="2"/>
      <c r="E1522" s="5">
        <f t="shared" si="50"/>
        <v>0</v>
      </c>
      <c r="F1522" s="6">
        <f t="shared" si="51"/>
        <v>0</v>
      </c>
    </row>
    <row r="1523" spans="1:6" x14ac:dyDescent="0.3">
      <c r="A1523" s="4"/>
      <c r="B1523" s="1"/>
      <c r="C1523" s="2"/>
      <c r="D1523" s="2"/>
      <c r="E1523" s="5">
        <f t="shared" si="50"/>
        <v>0</v>
      </c>
      <c r="F1523" s="6">
        <f t="shared" si="51"/>
        <v>0</v>
      </c>
    </row>
    <row r="1524" spans="1:6" x14ac:dyDescent="0.3">
      <c r="A1524" s="4"/>
      <c r="B1524" s="1"/>
      <c r="C1524" s="2"/>
      <c r="D1524" s="2"/>
      <c r="E1524" s="5">
        <f t="shared" si="50"/>
        <v>0</v>
      </c>
      <c r="F1524" s="6">
        <f t="shared" si="51"/>
        <v>0</v>
      </c>
    </row>
    <row r="1525" spans="1:6" x14ac:dyDescent="0.3">
      <c r="A1525" s="4"/>
      <c r="B1525" s="1"/>
      <c r="C1525" s="2"/>
      <c r="D1525" s="2"/>
      <c r="E1525" s="5">
        <f t="shared" si="50"/>
        <v>0</v>
      </c>
      <c r="F1525" s="6">
        <f t="shared" si="51"/>
        <v>0</v>
      </c>
    </row>
    <row r="1526" spans="1:6" x14ac:dyDescent="0.3">
      <c r="A1526" s="4"/>
      <c r="B1526" s="1"/>
      <c r="C1526" s="2"/>
      <c r="D1526" s="2"/>
      <c r="E1526" s="5">
        <f t="shared" si="50"/>
        <v>0</v>
      </c>
      <c r="F1526" s="6">
        <f t="shared" si="51"/>
        <v>0</v>
      </c>
    </row>
    <row r="1527" spans="1:6" x14ac:dyDescent="0.3">
      <c r="A1527" s="4"/>
      <c r="B1527" s="1"/>
      <c r="C1527" s="2"/>
      <c r="D1527" s="2"/>
      <c r="E1527" s="5">
        <f t="shared" si="50"/>
        <v>0</v>
      </c>
      <c r="F1527" s="6">
        <f t="shared" si="51"/>
        <v>0</v>
      </c>
    </row>
    <row r="1528" spans="1:6" x14ac:dyDescent="0.3">
      <c r="A1528" s="4"/>
      <c r="B1528" s="1"/>
      <c r="C1528" s="2"/>
      <c r="D1528" s="2"/>
      <c r="E1528" s="5">
        <f t="shared" si="50"/>
        <v>0</v>
      </c>
      <c r="F1528" s="6">
        <f t="shared" si="51"/>
        <v>0</v>
      </c>
    </row>
    <row r="1529" spans="1:6" x14ac:dyDescent="0.3">
      <c r="A1529" s="4"/>
      <c r="B1529" s="1"/>
      <c r="C1529" s="2"/>
      <c r="D1529" s="2"/>
      <c r="E1529" s="5">
        <f t="shared" si="50"/>
        <v>0</v>
      </c>
      <c r="F1529" s="6">
        <f t="shared" si="51"/>
        <v>0</v>
      </c>
    </row>
    <row r="1530" spans="1:6" x14ac:dyDescent="0.3">
      <c r="A1530" s="4"/>
      <c r="B1530" s="1"/>
      <c r="C1530" s="2"/>
      <c r="D1530" s="2"/>
      <c r="E1530" s="5">
        <f t="shared" si="50"/>
        <v>0</v>
      </c>
      <c r="F1530" s="6">
        <f t="shared" si="51"/>
        <v>0</v>
      </c>
    </row>
    <row r="1531" spans="1:6" x14ac:dyDescent="0.3">
      <c r="A1531" s="4"/>
      <c r="B1531" s="1"/>
      <c r="C1531" s="2"/>
      <c r="D1531" s="2"/>
      <c r="E1531" s="5">
        <f t="shared" si="50"/>
        <v>0</v>
      </c>
      <c r="F1531" s="6">
        <f t="shared" si="51"/>
        <v>0</v>
      </c>
    </row>
    <row r="1532" spans="1:6" x14ac:dyDescent="0.3">
      <c r="A1532" s="4"/>
      <c r="B1532" s="1"/>
      <c r="C1532" s="2"/>
      <c r="D1532" s="2"/>
      <c r="E1532" s="5">
        <f t="shared" si="50"/>
        <v>0</v>
      </c>
      <c r="F1532" s="6">
        <f t="shared" si="51"/>
        <v>0</v>
      </c>
    </row>
    <row r="1533" spans="1:6" x14ac:dyDescent="0.3">
      <c r="A1533" s="4"/>
      <c r="B1533" s="1"/>
      <c r="C1533" s="2"/>
      <c r="D1533" s="2"/>
      <c r="E1533" s="5">
        <f t="shared" si="50"/>
        <v>0</v>
      </c>
      <c r="F1533" s="6">
        <f t="shared" si="51"/>
        <v>0</v>
      </c>
    </row>
    <row r="1534" spans="1:6" x14ac:dyDescent="0.3">
      <c r="A1534" s="4"/>
      <c r="B1534" s="1"/>
      <c r="C1534" s="2"/>
      <c r="D1534" s="2"/>
      <c r="E1534" s="5">
        <f t="shared" si="50"/>
        <v>0</v>
      </c>
      <c r="F1534" s="6">
        <f t="shared" si="51"/>
        <v>0</v>
      </c>
    </row>
    <row r="1535" spans="1:6" x14ac:dyDescent="0.3">
      <c r="A1535" s="4"/>
      <c r="B1535" s="1"/>
      <c r="C1535" s="2"/>
      <c r="D1535" s="2"/>
      <c r="E1535" s="5">
        <f t="shared" si="50"/>
        <v>0</v>
      </c>
      <c r="F1535" s="6">
        <f t="shared" si="51"/>
        <v>0</v>
      </c>
    </row>
    <row r="1536" spans="1:6" x14ac:dyDescent="0.3">
      <c r="A1536" s="4"/>
      <c r="B1536" s="1"/>
      <c r="C1536" s="2"/>
      <c r="D1536" s="2"/>
      <c r="E1536" s="5">
        <f t="shared" si="50"/>
        <v>0</v>
      </c>
      <c r="F1536" s="6">
        <f t="shared" si="51"/>
        <v>0</v>
      </c>
    </row>
    <row r="1537" spans="1:6" x14ac:dyDescent="0.3">
      <c r="A1537" s="4"/>
      <c r="B1537" s="1"/>
      <c r="C1537" s="2"/>
      <c r="D1537" s="2"/>
      <c r="E1537" s="5">
        <f t="shared" si="50"/>
        <v>0</v>
      </c>
      <c r="F1537" s="6">
        <f t="shared" si="51"/>
        <v>0</v>
      </c>
    </row>
    <row r="1538" spans="1:6" x14ac:dyDescent="0.3">
      <c r="A1538" s="4"/>
      <c r="B1538" s="1"/>
      <c r="C1538" s="2"/>
      <c r="D1538" s="2"/>
      <c r="E1538" s="5">
        <f t="shared" si="50"/>
        <v>0</v>
      </c>
      <c r="F1538" s="6">
        <f t="shared" si="51"/>
        <v>0</v>
      </c>
    </row>
    <row r="1539" spans="1:6" x14ac:dyDescent="0.3">
      <c r="A1539" s="4"/>
      <c r="B1539" s="1"/>
      <c r="C1539" s="2"/>
      <c r="D1539" s="2"/>
      <c r="E1539" s="5">
        <f t="shared" ref="E1539:E1602" si="52">D1539-C1539</f>
        <v>0</v>
      </c>
      <c r="F1539" s="6">
        <f t="shared" ref="F1539:F1602" si="53">ROUND(VALUE(E1539)*4,2)</f>
        <v>0</v>
      </c>
    </row>
    <row r="1540" spans="1:6" x14ac:dyDescent="0.3">
      <c r="A1540" s="4"/>
      <c r="B1540" s="1"/>
      <c r="C1540" s="2"/>
      <c r="D1540" s="2"/>
      <c r="E1540" s="5">
        <f t="shared" si="52"/>
        <v>0</v>
      </c>
      <c r="F1540" s="6">
        <f t="shared" si="53"/>
        <v>0</v>
      </c>
    </row>
    <row r="1541" spans="1:6" x14ac:dyDescent="0.3">
      <c r="A1541" s="4"/>
      <c r="B1541" s="1"/>
      <c r="C1541" s="2"/>
      <c r="D1541" s="2"/>
      <c r="E1541" s="5">
        <f t="shared" si="52"/>
        <v>0</v>
      </c>
      <c r="F1541" s="6">
        <f t="shared" si="53"/>
        <v>0</v>
      </c>
    </row>
    <row r="1542" spans="1:6" x14ac:dyDescent="0.3">
      <c r="A1542" s="4"/>
      <c r="B1542" s="1"/>
      <c r="C1542" s="2"/>
      <c r="D1542" s="2"/>
      <c r="E1542" s="5">
        <f t="shared" si="52"/>
        <v>0</v>
      </c>
      <c r="F1542" s="6">
        <f t="shared" si="53"/>
        <v>0</v>
      </c>
    </row>
    <row r="1543" spans="1:6" x14ac:dyDescent="0.3">
      <c r="A1543" s="4"/>
      <c r="B1543" s="1"/>
      <c r="C1543" s="2"/>
      <c r="D1543" s="2"/>
      <c r="E1543" s="5">
        <f t="shared" si="52"/>
        <v>0</v>
      </c>
      <c r="F1543" s="6">
        <f t="shared" si="53"/>
        <v>0</v>
      </c>
    </row>
    <row r="1544" spans="1:6" x14ac:dyDescent="0.3">
      <c r="A1544" s="4"/>
      <c r="B1544" s="1"/>
      <c r="C1544" s="2"/>
      <c r="D1544" s="2"/>
      <c r="E1544" s="5">
        <f t="shared" si="52"/>
        <v>0</v>
      </c>
      <c r="F1544" s="6">
        <f t="shared" si="53"/>
        <v>0</v>
      </c>
    </row>
    <row r="1545" spans="1:6" x14ac:dyDescent="0.3">
      <c r="A1545" s="4"/>
      <c r="B1545" s="1"/>
      <c r="C1545" s="2"/>
      <c r="D1545" s="2"/>
      <c r="E1545" s="5">
        <f t="shared" si="52"/>
        <v>0</v>
      </c>
      <c r="F1545" s="6">
        <f t="shared" si="53"/>
        <v>0</v>
      </c>
    </row>
    <row r="1546" spans="1:6" x14ac:dyDescent="0.3">
      <c r="A1546" s="4"/>
      <c r="B1546" s="1"/>
      <c r="C1546" s="2"/>
      <c r="D1546" s="2"/>
      <c r="E1546" s="5">
        <f t="shared" si="52"/>
        <v>0</v>
      </c>
      <c r="F1546" s="6">
        <f t="shared" si="53"/>
        <v>0</v>
      </c>
    </row>
    <row r="1547" spans="1:6" x14ac:dyDescent="0.3">
      <c r="A1547" s="4"/>
      <c r="B1547" s="1"/>
      <c r="C1547" s="2"/>
      <c r="D1547" s="2"/>
      <c r="E1547" s="5">
        <f t="shared" si="52"/>
        <v>0</v>
      </c>
      <c r="F1547" s="6">
        <f t="shared" si="53"/>
        <v>0</v>
      </c>
    </row>
    <row r="1548" spans="1:6" x14ac:dyDescent="0.3">
      <c r="A1548" s="4"/>
      <c r="B1548" s="1"/>
      <c r="C1548" s="2"/>
      <c r="D1548" s="2"/>
      <c r="E1548" s="5">
        <f t="shared" si="52"/>
        <v>0</v>
      </c>
      <c r="F1548" s="6">
        <f t="shared" si="53"/>
        <v>0</v>
      </c>
    </row>
    <row r="1549" spans="1:6" x14ac:dyDescent="0.3">
      <c r="A1549" s="4"/>
      <c r="B1549" s="1"/>
      <c r="C1549" s="2"/>
      <c r="D1549" s="2"/>
      <c r="E1549" s="5">
        <f t="shared" si="52"/>
        <v>0</v>
      </c>
      <c r="F1549" s="6">
        <f t="shared" si="53"/>
        <v>0</v>
      </c>
    </row>
    <row r="1550" spans="1:6" x14ac:dyDescent="0.3">
      <c r="A1550" s="4"/>
      <c r="B1550" s="1"/>
      <c r="C1550" s="2"/>
      <c r="D1550" s="2"/>
      <c r="E1550" s="5">
        <f t="shared" si="52"/>
        <v>0</v>
      </c>
      <c r="F1550" s="6">
        <f t="shared" si="53"/>
        <v>0</v>
      </c>
    </row>
    <row r="1551" spans="1:6" x14ac:dyDescent="0.3">
      <c r="A1551" s="4"/>
      <c r="B1551" s="1"/>
      <c r="C1551" s="2"/>
      <c r="D1551" s="2"/>
      <c r="E1551" s="5">
        <f t="shared" si="52"/>
        <v>0</v>
      </c>
      <c r="F1551" s="6">
        <f t="shared" si="53"/>
        <v>0</v>
      </c>
    </row>
    <row r="1552" spans="1:6" x14ac:dyDescent="0.3">
      <c r="A1552" s="4"/>
      <c r="B1552" s="1"/>
      <c r="C1552" s="2"/>
      <c r="D1552" s="2"/>
      <c r="E1552" s="5">
        <f t="shared" si="52"/>
        <v>0</v>
      </c>
      <c r="F1552" s="6">
        <f t="shared" si="53"/>
        <v>0</v>
      </c>
    </row>
    <row r="1553" spans="1:6" x14ac:dyDescent="0.3">
      <c r="A1553" s="4"/>
      <c r="B1553" s="1"/>
      <c r="C1553" s="2"/>
      <c r="D1553" s="2"/>
      <c r="E1553" s="5">
        <f t="shared" si="52"/>
        <v>0</v>
      </c>
      <c r="F1553" s="6">
        <f t="shared" si="53"/>
        <v>0</v>
      </c>
    </row>
    <row r="1554" spans="1:6" x14ac:dyDescent="0.3">
      <c r="A1554" s="4"/>
      <c r="B1554" s="1"/>
      <c r="C1554" s="2"/>
      <c r="D1554" s="2"/>
      <c r="E1554" s="5">
        <f t="shared" si="52"/>
        <v>0</v>
      </c>
      <c r="F1554" s="6">
        <f t="shared" si="53"/>
        <v>0</v>
      </c>
    </row>
    <row r="1555" spans="1:6" x14ac:dyDescent="0.3">
      <c r="A1555" s="4"/>
      <c r="B1555" s="1"/>
      <c r="C1555" s="2"/>
      <c r="D1555" s="2"/>
      <c r="E1555" s="5">
        <f t="shared" si="52"/>
        <v>0</v>
      </c>
      <c r="F1555" s="6">
        <f t="shared" si="53"/>
        <v>0</v>
      </c>
    </row>
    <row r="1556" spans="1:6" x14ac:dyDescent="0.3">
      <c r="A1556" s="4"/>
      <c r="B1556" s="1"/>
      <c r="C1556" s="2"/>
      <c r="D1556" s="2"/>
      <c r="E1556" s="5">
        <f t="shared" si="52"/>
        <v>0</v>
      </c>
      <c r="F1556" s="6">
        <f t="shared" si="53"/>
        <v>0</v>
      </c>
    </row>
    <row r="1557" spans="1:6" x14ac:dyDescent="0.3">
      <c r="A1557" s="4"/>
      <c r="B1557" s="1"/>
      <c r="C1557" s="2"/>
      <c r="D1557" s="2"/>
      <c r="E1557" s="5">
        <f t="shared" si="52"/>
        <v>0</v>
      </c>
      <c r="F1557" s="6">
        <f t="shared" si="53"/>
        <v>0</v>
      </c>
    </row>
    <row r="1558" spans="1:6" x14ac:dyDescent="0.3">
      <c r="A1558" s="4"/>
      <c r="B1558" s="1"/>
      <c r="C1558" s="2"/>
      <c r="D1558" s="2"/>
      <c r="E1558" s="5">
        <f t="shared" si="52"/>
        <v>0</v>
      </c>
      <c r="F1558" s="6">
        <f t="shared" si="53"/>
        <v>0</v>
      </c>
    </row>
    <row r="1559" spans="1:6" x14ac:dyDescent="0.3">
      <c r="A1559" s="4"/>
      <c r="B1559" s="1"/>
      <c r="C1559" s="2"/>
      <c r="D1559" s="2"/>
      <c r="E1559" s="5">
        <f t="shared" si="52"/>
        <v>0</v>
      </c>
      <c r="F1559" s="6">
        <f t="shared" si="53"/>
        <v>0</v>
      </c>
    </row>
    <row r="1560" spans="1:6" x14ac:dyDescent="0.3">
      <c r="A1560" s="4"/>
      <c r="B1560" s="1"/>
      <c r="C1560" s="2"/>
      <c r="D1560" s="2"/>
      <c r="E1560" s="5">
        <f t="shared" si="52"/>
        <v>0</v>
      </c>
      <c r="F1560" s="6">
        <f t="shared" si="53"/>
        <v>0</v>
      </c>
    </row>
    <row r="1561" spans="1:6" x14ac:dyDescent="0.3">
      <c r="A1561" s="4"/>
      <c r="B1561" s="1"/>
      <c r="C1561" s="2"/>
      <c r="D1561" s="2"/>
      <c r="E1561" s="5">
        <f t="shared" si="52"/>
        <v>0</v>
      </c>
      <c r="F1561" s="6">
        <f t="shared" si="53"/>
        <v>0</v>
      </c>
    </row>
    <row r="1562" spans="1:6" x14ac:dyDescent="0.3">
      <c r="A1562" s="4"/>
      <c r="B1562" s="1"/>
      <c r="C1562" s="2"/>
      <c r="D1562" s="2"/>
      <c r="E1562" s="5">
        <f t="shared" si="52"/>
        <v>0</v>
      </c>
      <c r="F1562" s="6">
        <f t="shared" si="53"/>
        <v>0</v>
      </c>
    </row>
    <row r="1563" spans="1:6" x14ac:dyDescent="0.3">
      <c r="A1563" s="4"/>
      <c r="B1563" s="1"/>
      <c r="C1563" s="2"/>
      <c r="D1563" s="2"/>
      <c r="E1563" s="5">
        <f t="shared" si="52"/>
        <v>0</v>
      </c>
      <c r="F1563" s="6">
        <f t="shared" si="53"/>
        <v>0</v>
      </c>
    </row>
    <row r="1564" spans="1:6" x14ac:dyDescent="0.3">
      <c r="A1564" s="4"/>
      <c r="B1564" s="1"/>
      <c r="C1564" s="2"/>
      <c r="D1564" s="2"/>
      <c r="E1564" s="5">
        <f t="shared" si="52"/>
        <v>0</v>
      </c>
      <c r="F1564" s="6">
        <f t="shared" si="53"/>
        <v>0</v>
      </c>
    </row>
    <row r="1565" spans="1:6" x14ac:dyDescent="0.3">
      <c r="A1565" s="4"/>
      <c r="B1565" s="1"/>
      <c r="C1565" s="2"/>
      <c r="D1565" s="2"/>
      <c r="E1565" s="5">
        <f t="shared" si="52"/>
        <v>0</v>
      </c>
      <c r="F1565" s="6">
        <f t="shared" si="53"/>
        <v>0</v>
      </c>
    </row>
    <row r="1566" spans="1:6" x14ac:dyDescent="0.3">
      <c r="A1566" s="4"/>
      <c r="B1566" s="1"/>
      <c r="C1566" s="2"/>
      <c r="D1566" s="2"/>
      <c r="E1566" s="5">
        <f t="shared" si="52"/>
        <v>0</v>
      </c>
      <c r="F1566" s="6">
        <f t="shared" si="53"/>
        <v>0</v>
      </c>
    </row>
    <row r="1567" spans="1:6" x14ac:dyDescent="0.3">
      <c r="A1567" s="4"/>
      <c r="B1567" s="1"/>
      <c r="C1567" s="2"/>
      <c r="D1567" s="2"/>
      <c r="E1567" s="5">
        <f t="shared" si="52"/>
        <v>0</v>
      </c>
      <c r="F1567" s="6">
        <f t="shared" si="53"/>
        <v>0</v>
      </c>
    </row>
    <row r="1568" spans="1:6" x14ac:dyDescent="0.3">
      <c r="A1568" s="4"/>
      <c r="B1568" s="1"/>
      <c r="C1568" s="2"/>
      <c r="D1568" s="2"/>
      <c r="E1568" s="5">
        <f t="shared" si="52"/>
        <v>0</v>
      </c>
      <c r="F1568" s="6">
        <f t="shared" si="53"/>
        <v>0</v>
      </c>
    </row>
    <row r="1569" spans="1:6" x14ac:dyDescent="0.3">
      <c r="A1569" s="4"/>
      <c r="B1569" s="1"/>
      <c r="C1569" s="2"/>
      <c r="D1569" s="2"/>
      <c r="E1569" s="5">
        <f t="shared" si="52"/>
        <v>0</v>
      </c>
      <c r="F1569" s="6">
        <f t="shared" si="53"/>
        <v>0</v>
      </c>
    </row>
    <row r="1570" spans="1:6" x14ac:dyDescent="0.3">
      <c r="A1570" s="4"/>
      <c r="B1570" s="1"/>
      <c r="C1570" s="2"/>
      <c r="D1570" s="2"/>
      <c r="E1570" s="5">
        <f t="shared" si="52"/>
        <v>0</v>
      </c>
      <c r="F1570" s="6">
        <f t="shared" si="53"/>
        <v>0</v>
      </c>
    </row>
    <row r="1571" spans="1:6" x14ac:dyDescent="0.3">
      <c r="A1571" s="4"/>
      <c r="B1571" s="1"/>
      <c r="C1571" s="2"/>
      <c r="D1571" s="2"/>
      <c r="E1571" s="5">
        <f t="shared" si="52"/>
        <v>0</v>
      </c>
      <c r="F1571" s="6">
        <f t="shared" si="53"/>
        <v>0</v>
      </c>
    </row>
    <row r="1572" spans="1:6" x14ac:dyDescent="0.3">
      <c r="A1572" s="4"/>
      <c r="B1572" s="1"/>
      <c r="C1572" s="2"/>
      <c r="D1572" s="2"/>
      <c r="E1572" s="5">
        <f t="shared" si="52"/>
        <v>0</v>
      </c>
      <c r="F1572" s="6">
        <f t="shared" si="53"/>
        <v>0</v>
      </c>
    </row>
    <row r="1573" spans="1:6" x14ac:dyDescent="0.3">
      <c r="A1573" s="4"/>
      <c r="B1573" s="1"/>
      <c r="C1573" s="2"/>
      <c r="D1573" s="2"/>
      <c r="E1573" s="5">
        <f t="shared" si="52"/>
        <v>0</v>
      </c>
      <c r="F1573" s="6">
        <f t="shared" si="53"/>
        <v>0</v>
      </c>
    </row>
    <row r="1574" spans="1:6" x14ac:dyDescent="0.3">
      <c r="A1574" s="4"/>
      <c r="B1574" s="1"/>
      <c r="C1574" s="2"/>
      <c r="D1574" s="2"/>
      <c r="E1574" s="5">
        <f t="shared" si="52"/>
        <v>0</v>
      </c>
      <c r="F1574" s="6">
        <f t="shared" si="53"/>
        <v>0</v>
      </c>
    </row>
    <row r="1575" spans="1:6" x14ac:dyDescent="0.3">
      <c r="A1575" s="4"/>
      <c r="B1575" s="1"/>
      <c r="C1575" s="2"/>
      <c r="D1575" s="2"/>
      <c r="E1575" s="5">
        <f t="shared" si="52"/>
        <v>0</v>
      </c>
      <c r="F1575" s="6">
        <f t="shared" si="53"/>
        <v>0</v>
      </c>
    </row>
    <row r="1576" spans="1:6" x14ac:dyDescent="0.3">
      <c r="A1576" s="4"/>
      <c r="B1576" s="1"/>
      <c r="C1576" s="2"/>
      <c r="D1576" s="2"/>
      <c r="E1576" s="5">
        <f t="shared" si="52"/>
        <v>0</v>
      </c>
      <c r="F1576" s="6">
        <f t="shared" si="53"/>
        <v>0</v>
      </c>
    </row>
    <row r="1577" spans="1:6" x14ac:dyDescent="0.3">
      <c r="A1577" s="4"/>
      <c r="B1577" s="1"/>
      <c r="C1577" s="2"/>
      <c r="D1577" s="2"/>
      <c r="E1577" s="5">
        <f t="shared" si="52"/>
        <v>0</v>
      </c>
      <c r="F1577" s="6">
        <f t="shared" si="53"/>
        <v>0</v>
      </c>
    </row>
    <row r="1578" spans="1:6" x14ac:dyDescent="0.3">
      <c r="A1578" s="4"/>
      <c r="B1578" s="1"/>
      <c r="C1578" s="2"/>
      <c r="D1578" s="2"/>
      <c r="E1578" s="5">
        <f t="shared" si="52"/>
        <v>0</v>
      </c>
      <c r="F1578" s="6">
        <f t="shared" si="53"/>
        <v>0</v>
      </c>
    </row>
    <row r="1579" spans="1:6" x14ac:dyDescent="0.3">
      <c r="A1579" s="4"/>
      <c r="B1579" s="1"/>
      <c r="C1579" s="2"/>
      <c r="D1579" s="2"/>
      <c r="E1579" s="5">
        <f t="shared" si="52"/>
        <v>0</v>
      </c>
      <c r="F1579" s="6">
        <f t="shared" si="53"/>
        <v>0</v>
      </c>
    </row>
    <row r="1580" spans="1:6" x14ac:dyDescent="0.3">
      <c r="A1580" s="4"/>
      <c r="B1580" s="1"/>
      <c r="C1580" s="2"/>
      <c r="D1580" s="2"/>
      <c r="E1580" s="5">
        <f t="shared" si="52"/>
        <v>0</v>
      </c>
      <c r="F1580" s="6">
        <f t="shared" si="53"/>
        <v>0</v>
      </c>
    </row>
    <row r="1581" spans="1:6" x14ac:dyDescent="0.3">
      <c r="A1581" s="4"/>
      <c r="B1581" s="1"/>
      <c r="C1581" s="2"/>
      <c r="D1581" s="2"/>
      <c r="E1581" s="5">
        <f t="shared" si="52"/>
        <v>0</v>
      </c>
      <c r="F1581" s="6">
        <f t="shared" si="53"/>
        <v>0</v>
      </c>
    </row>
    <row r="1582" spans="1:6" x14ac:dyDescent="0.3">
      <c r="A1582" s="4"/>
      <c r="B1582" s="1"/>
      <c r="C1582" s="2"/>
      <c r="D1582" s="2"/>
      <c r="E1582" s="5">
        <f t="shared" si="52"/>
        <v>0</v>
      </c>
      <c r="F1582" s="6">
        <f t="shared" si="53"/>
        <v>0</v>
      </c>
    </row>
    <row r="1583" spans="1:6" x14ac:dyDescent="0.3">
      <c r="A1583" s="4"/>
      <c r="B1583" s="1"/>
      <c r="C1583" s="2"/>
      <c r="D1583" s="2"/>
      <c r="E1583" s="5">
        <f t="shared" si="52"/>
        <v>0</v>
      </c>
      <c r="F1583" s="6">
        <f t="shared" si="53"/>
        <v>0</v>
      </c>
    </row>
    <row r="1584" spans="1:6" x14ac:dyDescent="0.3">
      <c r="A1584" s="4"/>
      <c r="B1584" s="1"/>
      <c r="C1584" s="2"/>
      <c r="D1584" s="2"/>
      <c r="E1584" s="5">
        <f t="shared" si="52"/>
        <v>0</v>
      </c>
      <c r="F1584" s="6">
        <f t="shared" si="53"/>
        <v>0</v>
      </c>
    </row>
    <row r="1585" spans="1:6" x14ac:dyDescent="0.3">
      <c r="A1585" s="4"/>
      <c r="B1585" s="1"/>
      <c r="C1585" s="2"/>
      <c r="D1585" s="2"/>
      <c r="E1585" s="5">
        <f t="shared" si="52"/>
        <v>0</v>
      </c>
      <c r="F1585" s="6">
        <f t="shared" si="53"/>
        <v>0</v>
      </c>
    </row>
    <row r="1586" spans="1:6" x14ac:dyDescent="0.3">
      <c r="A1586" s="4"/>
      <c r="B1586" s="1"/>
      <c r="C1586" s="2"/>
      <c r="D1586" s="2"/>
      <c r="E1586" s="5">
        <f t="shared" si="52"/>
        <v>0</v>
      </c>
      <c r="F1586" s="6">
        <f t="shared" si="53"/>
        <v>0</v>
      </c>
    </row>
    <row r="1587" spans="1:6" x14ac:dyDescent="0.3">
      <c r="A1587" s="4"/>
      <c r="B1587" s="1"/>
      <c r="C1587" s="2"/>
      <c r="D1587" s="2"/>
      <c r="E1587" s="5">
        <f t="shared" si="52"/>
        <v>0</v>
      </c>
      <c r="F1587" s="6">
        <f t="shared" si="53"/>
        <v>0</v>
      </c>
    </row>
    <row r="1588" spans="1:6" x14ac:dyDescent="0.3">
      <c r="A1588" s="4"/>
      <c r="B1588" s="1"/>
      <c r="C1588" s="2"/>
      <c r="D1588" s="2"/>
      <c r="E1588" s="5">
        <f t="shared" si="52"/>
        <v>0</v>
      </c>
      <c r="F1588" s="6">
        <f t="shared" si="53"/>
        <v>0</v>
      </c>
    </row>
    <row r="1589" spans="1:6" x14ac:dyDescent="0.3">
      <c r="A1589" s="4"/>
      <c r="B1589" s="1"/>
      <c r="C1589" s="2"/>
      <c r="D1589" s="2"/>
      <c r="E1589" s="5">
        <f t="shared" si="52"/>
        <v>0</v>
      </c>
      <c r="F1589" s="6">
        <f t="shared" si="53"/>
        <v>0</v>
      </c>
    </row>
    <row r="1590" spans="1:6" x14ac:dyDescent="0.3">
      <c r="A1590" s="4"/>
      <c r="B1590" s="1"/>
      <c r="C1590" s="2"/>
      <c r="D1590" s="2"/>
      <c r="E1590" s="5">
        <f t="shared" si="52"/>
        <v>0</v>
      </c>
      <c r="F1590" s="6">
        <f t="shared" si="53"/>
        <v>0</v>
      </c>
    </row>
    <row r="1591" spans="1:6" x14ac:dyDescent="0.3">
      <c r="A1591" s="4"/>
      <c r="B1591" s="1"/>
      <c r="C1591" s="2"/>
      <c r="D1591" s="2"/>
      <c r="E1591" s="5">
        <f t="shared" si="52"/>
        <v>0</v>
      </c>
      <c r="F1591" s="6">
        <f t="shared" si="53"/>
        <v>0</v>
      </c>
    </row>
    <row r="1592" spans="1:6" x14ac:dyDescent="0.3">
      <c r="A1592" s="4"/>
      <c r="B1592" s="1"/>
      <c r="C1592" s="2"/>
      <c r="D1592" s="2"/>
      <c r="E1592" s="5">
        <f t="shared" si="52"/>
        <v>0</v>
      </c>
      <c r="F1592" s="6">
        <f t="shared" si="53"/>
        <v>0</v>
      </c>
    </row>
    <row r="1593" spans="1:6" x14ac:dyDescent="0.3">
      <c r="A1593" s="4"/>
      <c r="B1593" s="1"/>
      <c r="C1593" s="2"/>
      <c r="D1593" s="2"/>
      <c r="E1593" s="5">
        <f t="shared" si="52"/>
        <v>0</v>
      </c>
      <c r="F1593" s="6">
        <f t="shared" si="53"/>
        <v>0</v>
      </c>
    </row>
    <row r="1594" spans="1:6" x14ac:dyDescent="0.3">
      <c r="A1594" s="4"/>
      <c r="B1594" s="1"/>
      <c r="C1594" s="2"/>
      <c r="D1594" s="2"/>
      <c r="E1594" s="5">
        <f t="shared" si="52"/>
        <v>0</v>
      </c>
      <c r="F1594" s="6">
        <f t="shared" si="53"/>
        <v>0</v>
      </c>
    </row>
    <row r="1595" spans="1:6" x14ac:dyDescent="0.3">
      <c r="A1595" s="4"/>
      <c r="B1595" s="1"/>
      <c r="C1595" s="2"/>
      <c r="D1595" s="2"/>
      <c r="E1595" s="5">
        <f t="shared" si="52"/>
        <v>0</v>
      </c>
      <c r="F1595" s="6">
        <f t="shared" si="53"/>
        <v>0</v>
      </c>
    </row>
    <row r="1596" spans="1:6" x14ac:dyDescent="0.3">
      <c r="A1596" s="4"/>
      <c r="B1596" s="1"/>
      <c r="C1596" s="2"/>
      <c r="D1596" s="2"/>
      <c r="E1596" s="5">
        <f t="shared" si="52"/>
        <v>0</v>
      </c>
      <c r="F1596" s="6">
        <f t="shared" si="53"/>
        <v>0</v>
      </c>
    </row>
    <row r="1597" spans="1:6" x14ac:dyDescent="0.3">
      <c r="A1597" s="4"/>
      <c r="B1597" s="1"/>
      <c r="C1597" s="2"/>
      <c r="D1597" s="2"/>
      <c r="E1597" s="5">
        <f t="shared" si="52"/>
        <v>0</v>
      </c>
      <c r="F1597" s="6">
        <f t="shared" si="53"/>
        <v>0</v>
      </c>
    </row>
    <row r="1598" spans="1:6" x14ac:dyDescent="0.3">
      <c r="A1598" s="4"/>
      <c r="B1598" s="1"/>
      <c r="C1598" s="2"/>
      <c r="D1598" s="2"/>
      <c r="E1598" s="5">
        <f t="shared" si="52"/>
        <v>0</v>
      </c>
      <c r="F1598" s="6">
        <f t="shared" si="53"/>
        <v>0</v>
      </c>
    </row>
    <row r="1599" spans="1:6" x14ac:dyDescent="0.3">
      <c r="A1599" s="4"/>
      <c r="B1599" s="1"/>
      <c r="C1599" s="2"/>
      <c r="D1599" s="2"/>
      <c r="E1599" s="5">
        <f t="shared" si="52"/>
        <v>0</v>
      </c>
      <c r="F1599" s="6">
        <f t="shared" si="53"/>
        <v>0</v>
      </c>
    </row>
    <row r="1600" spans="1:6" x14ac:dyDescent="0.3">
      <c r="A1600" s="4"/>
      <c r="B1600" s="1"/>
      <c r="C1600" s="2"/>
      <c r="D1600" s="2"/>
      <c r="E1600" s="5">
        <f t="shared" si="52"/>
        <v>0</v>
      </c>
      <c r="F1600" s="6">
        <f t="shared" si="53"/>
        <v>0</v>
      </c>
    </row>
    <row r="1601" spans="1:6" x14ac:dyDescent="0.3">
      <c r="A1601" s="4"/>
      <c r="B1601" s="1"/>
      <c r="C1601" s="2"/>
      <c r="D1601" s="2"/>
      <c r="E1601" s="5">
        <f t="shared" si="52"/>
        <v>0</v>
      </c>
      <c r="F1601" s="6">
        <f t="shared" si="53"/>
        <v>0</v>
      </c>
    </row>
    <row r="1602" spans="1:6" x14ac:dyDescent="0.3">
      <c r="A1602" s="4"/>
      <c r="B1602" s="1"/>
      <c r="C1602" s="2"/>
      <c r="D1602" s="2"/>
      <c r="E1602" s="5">
        <f t="shared" si="52"/>
        <v>0</v>
      </c>
      <c r="F1602" s="6">
        <f t="shared" si="53"/>
        <v>0</v>
      </c>
    </row>
    <row r="1603" spans="1:6" x14ac:dyDescent="0.3">
      <c r="A1603" s="4"/>
      <c r="B1603" s="1"/>
      <c r="C1603" s="2"/>
      <c r="D1603" s="2"/>
      <c r="E1603" s="5">
        <f t="shared" ref="E1603:E1666" si="54">D1603-C1603</f>
        <v>0</v>
      </c>
      <c r="F1603" s="6">
        <f t="shared" ref="F1603:F1666" si="55">ROUND(VALUE(E1603)*4,2)</f>
        <v>0</v>
      </c>
    </row>
    <row r="1604" spans="1:6" x14ac:dyDescent="0.3">
      <c r="A1604" s="4"/>
      <c r="B1604" s="1"/>
      <c r="C1604" s="2"/>
      <c r="D1604" s="2"/>
      <c r="E1604" s="5">
        <f t="shared" si="54"/>
        <v>0</v>
      </c>
      <c r="F1604" s="6">
        <f t="shared" si="55"/>
        <v>0</v>
      </c>
    </row>
    <row r="1605" spans="1:6" x14ac:dyDescent="0.3">
      <c r="A1605" s="4"/>
      <c r="B1605" s="1"/>
      <c r="C1605" s="2"/>
      <c r="D1605" s="2"/>
      <c r="E1605" s="5">
        <f t="shared" si="54"/>
        <v>0</v>
      </c>
      <c r="F1605" s="6">
        <f t="shared" si="55"/>
        <v>0</v>
      </c>
    </row>
    <row r="1606" spans="1:6" x14ac:dyDescent="0.3">
      <c r="A1606" s="4"/>
      <c r="B1606" s="1"/>
      <c r="C1606" s="2"/>
      <c r="D1606" s="2"/>
      <c r="E1606" s="5">
        <f t="shared" si="54"/>
        <v>0</v>
      </c>
      <c r="F1606" s="6">
        <f t="shared" si="55"/>
        <v>0</v>
      </c>
    </row>
    <row r="1607" spans="1:6" x14ac:dyDescent="0.3">
      <c r="A1607" s="4"/>
      <c r="B1607" s="1"/>
      <c r="C1607" s="2"/>
      <c r="D1607" s="2"/>
      <c r="E1607" s="5">
        <f t="shared" si="54"/>
        <v>0</v>
      </c>
      <c r="F1607" s="6">
        <f t="shared" si="55"/>
        <v>0</v>
      </c>
    </row>
    <row r="1608" spans="1:6" x14ac:dyDescent="0.3">
      <c r="A1608" s="4"/>
      <c r="B1608" s="1"/>
      <c r="C1608" s="2"/>
      <c r="D1608" s="2"/>
      <c r="E1608" s="5">
        <f t="shared" si="54"/>
        <v>0</v>
      </c>
      <c r="F1608" s="6">
        <f t="shared" si="55"/>
        <v>0</v>
      </c>
    </row>
    <row r="1609" spans="1:6" x14ac:dyDescent="0.3">
      <c r="A1609" s="4"/>
      <c r="B1609" s="1"/>
      <c r="C1609" s="2"/>
      <c r="D1609" s="2"/>
      <c r="E1609" s="5">
        <f t="shared" si="54"/>
        <v>0</v>
      </c>
      <c r="F1609" s="6">
        <f t="shared" si="55"/>
        <v>0</v>
      </c>
    </row>
    <row r="1610" spans="1:6" x14ac:dyDescent="0.3">
      <c r="A1610" s="4"/>
      <c r="B1610" s="1"/>
      <c r="C1610" s="2"/>
      <c r="D1610" s="2"/>
      <c r="E1610" s="5">
        <f t="shared" si="54"/>
        <v>0</v>
      </c>
      <c r="F1610" s="6">
        <f t="shared" si="55"/>
        <v>0</v>
      </c>
    </row>
    <row r="1611" spans="1:6" x14ac:dyDescent="0.3">
      <c r="A1611" s="4"/>
      <c r="B1611" s="1"/>
      <c r="C1611" s="2"/>
      <c r="D1611" s="2"/>
      <c r="E1611" s="5">
        <f t="shared" si="54"/>
        <v>0</v>
      </c>
      <c r="F1611" s="6">
        <f t="shared" si="55"/>
        <v>0</v>
      </c>
    </row>
    <row r="1612" spans="1:6" x14ac:dyDescent="0.3">
      <c r="A1612" s="4"/>
      <c r="B1612" s="1"/>
      <c r="C1612" s="2"/>
      <c r="D1612" s="2"/>
      <c r="E1612" s="5">
        <f t="shared" si="54"/>
        <v>0</v>
      </c>
      <c r="F1612" s="6">
        <f t="shared" si="55"/>
        <v>0</v>
      </c>
    </row>
    <row r="1613" spans="1:6" x14ac:dyDescent="0.3">
      <c r="A1613" s="4"/>
      <c r="B1613" s="1"/>
      <c r="C1613" s="2"/>
      <c r="D1613" s="2"/>
      <c r="E1613" s="5">
        <f t="shared" si="54"/>
        <v>0</v>
      </c>
      <c r="F1613" s="6">
        <f t="shared" si="55"/>
        <v>0</v>
      </c>
    </row>
    <row r="1614" spans="1:6" x14ac:dyDescent="0.3">
      <c r="A1614" s="4"/>
      <c r="B1614" s="1"/>
      <c r="C1614" s="2"/>
      <c r="D1614" s="2"/>
      <c r="E1614" s="5">
        <f t="shared" si="54"/>
        <v>0</v>
      </c>
      <c r="F1614" s="6">
        <f t="shared" si="55"/>
        <v>0</v>
      </c>
    </row>
    <row r="1615" spans="1:6" x14ac:dyDescent="0.3">
      <c r="A1615" s="4"/>
      <c r="B1615" s="1"/>
      <c r="C1615" s="2"/>
      <c r="D1615" s="2"/>
      <c r="E1615" s="5">
        <f t="shared" si="54"/>
        <v>0</v>
      </c>
      <c r="F1615" s="6">
        <f t="shared" si="55"/>
        <v>0</v>
      </c>
    </row>
    <row r="1616" spans="1:6" x14ac:dyDescent="0.3">
      <c r="A1616" s="4"/>
      <c r="B1616" s="1"/>
      <c r="C1616" s="2"/>
      <c r="D1616" s="2"/>
      <c r="E1616" s="5">
        <f t="shared" si="54"/>
        <v>0</v>
      </c>
      <c r="F1616" s="6">
        <f t="shared" si="55"/>
        <v>0</v>
      </c>
    </row>
    <row r="1617" spans="1:6" x14ac:dyDescent="0.3">
      <c r="A1617" s="4"/>
      <c r="B1617" s="1"/>
      <c r="C1617" s="2"/>
      <c r="D1617" s="2"/>
      <c r="E1617" s="5">
        <f t="shared" si="54"/>
        <v>0</v>
      </c>
      <c r="F1617" s="6">
        <f t="shared" si="55"/>
        <v>0</v>
      </c>
    </row>
    <row r="1618" spans="1:6" x14ac:dyDescent="0.3">
      <c r="A1618" s="4"/>
      <c r="B1618" s="1"/>
      <c r="C1618" s="2"/>
      <c r="D1618" s="2"/>
      <c r="E1618" s="5">
        <f t="shared" si="54"/>
        <v>0</v>
      </c>
      <c r="F1618" s="6">
        <f t="shared" si="55"/>
        <v>0</v>
      </c>
    </row>
    <row r="1619" spans="1:6" x14ac:dyDescent="0.3">
      <c r="A1619" s="4"/>
      <c r="B1619" s="1"/>
      <c r="C1619" s="2"/>
      <c r="D1619" s="2"/>
      <c r="E1619" s="5">
        <f t="shared" si="54"/>
        <v>0</v>
      </c>
      <c r="F1619" s="6">
        <f t="shared" si="55"/>
        <v>0</v>
      </c>
    </row>
    <row r="1620" spans="1:6" x14ac:dyDescent="0.3">
      <c r="A1620" s="4"/>
      <c r="B1620" s="1"/>
      <c r="C1620" s="2"/>
      <c r="D1620" s="2"/>
      <c r="E1620" s="5">
        <f t="shared" si="54"/>
        <v>0</v>
      </c>
      <c r="F1620" s="6">
        <f t="shared" si="55"/>
        <v>0</v>
      </c>
    </row>
    <row r="1621" spans="1:6" x14ac:dyDescent="0.3">
      <c r="A1621" s="4"/>
      <c r="B1621" s="1"/>
      <c r="C1621" s="2"/>
      <c r="D1621" s="2"/>
      <c r="E1621" s="5">
        <f t="shared" si="54"/>
        <v>0</v>
      </c>
      <c r="F1621" s="6">
        <f t="shared" si="55"/>
        <v>0</v>
      </c>
    </row>
    <row r="1622" spans="1:6" x14ac:dyDescent="0.3">
      <c r="A1622" s="4"/>
      <c r="B1622" s="1"/>
      <c r="C1622" s="2"/>
      <c r="D1622" s="2"/>
      <c r="E1622" s="5">
        <f t="shared" si="54"/>
        <v>0</v>
      </c>
      <c r="F1622" s="6">
        <f t="shared" si="55"/>
        <v>0</v>
      </c>
    </row>
    <row r="1623" spans="1:6" x14ac:dyDescent="0.3">
      <c r="A1623" s="4"/>
      <c r="B1623" s="1"/>
      <c r="C1623" s="2"/>
      <c r="D1623" s="2"/>
      <c r="E1623" s="5">
        <f t="shared" si="54"/>
        <v>0</v>
      </c>
      <c r="F1623" s="6">
        <f t="shared" si="55"/>
        <v>0</v>
      </c>
    </row>
    <row r="1624" spans="1:6" x14ac:dyDescent="0.3">
      <c r="A1624" s="4"/>
      <c r="B1624" s="1"/>
      <c r="C1624" s="2"/>
      <c r="D1624" s="2"/>
      <c r="E1624" s="5">
        <f t="shared" si="54"/>
        <v>0</v>
      </c>
      <c r="F1624" s="6">
        <f t="shared" si="55"/>
        <v>0</v>
      </c>
    </row>
    <row r="1625" spans="1:6" x14ac:dyDescent="0.3">
      <c r="A1625" s="4"/>
      <c r="B1625" s="1"/>
      <c r="C1625" s="2"/>
      <c r="D1625" s="2"/>
      <c r="E1625" s="5">
        <f t="shared" si="54"/>
        <v>0</v>
      </c>
      <c r="F1625" s="6">
        <f t="shared" si="55"/>
        <v>0</v>
      </c>
    </row>
    <row r="1626" spans="1:6" x14ac:dyDescent="0.3">
      <c r="A1626" s="4"/>
      <c r="B1626" s="1"/>
      <c r="C1626" s="2"/>
      <c r="D1626" s="2"/>
      <c r="E1626" s="5">
        <f t="shared" si="54"/>
        <v>0</v>
      </c>
      <c r="F1626" s="6">
        <f t="shared" si="55"/>
        <v>0</v>
      </c>
    </row>
    <row r="1627" spans="1:6" x14ac:dyDescent="0.3">
      <c r="A1627" s="4"/>
      <c r="B1627" s="1"/>
      <c r="C1627" s="2"/>
      <c r="D1627" s="2"/>
      <c r="E1627" s="5">
        <f t="shared" si="54"/>
        <v>0</v>
      </c>
      <c r="F1627" s="6">
        <f t="shared" si="55"/>
        <v>0</v>
      </c>
    </row>
    <row r="1628" spans="1:6" x14ac:dyDescent="0.3">
      <c r="A1628" s="4"/>
      <c r="B1628" s="1"/>
      <c r="C1628" s="2"/>
      <c r="D1628" s="2"/>
      <c r="E1628" s="5">
        <f t="shared" si="54"/>
        <v>0</v>
      </c>
      <c r="F1628" s="6">
        <f t="shared" si="55"/>
        <v>0</v>
      </c>
    </row>
    <row r="1629" spans="1:6" x14ac:dyDescent="0.3">
      <c r="A1629" s="4"/>
      <c r="B1629" s="1"/>
      <c r="C1629" s="2"/>
      <c r="D1629" s="2"/>
      <c r="E1629" s="5">
        <f t="shared" si="54"/>
        <v>0</v>
      </c>
      <c r="F1629" s="6">
        <f t="shared" si="55"/>
        <v>0</v>
      </c>
    </row>
    <row r="1630" spans="1:6" x14ac:dyDescent="0.3">
      <c r="A1630" s="4"/>
      <c r="B1630" s="1"/>
      <c r="C1630" s="2"/>
      <c r="D1630" s="2"/>
      <c r="E1630" s="5">
        <f t="shared" si="54"/>
        <v>0</v>
      </c>
      <c r="F1630" s="6">
        <f t="shared" si="55"/>
        <v>0</v>
      </c>
    </row>
    <row r="1631" spans="1:6" x14ac:dyDescent="0.3">
      <c r="A1631" s="4"/>
      <c r="B1631" s="1"/>
      <c r="C1631" s="2"/>
      <c r="D1631" s="2"/>
      <c r="E1631" s="5">
        <f t="shared" si="54"/>
        <v>0</v>
      </c>
      <c r="F1631" s="6">
        <f t="shared" si="55"/>
        <v>0</v>
      </c>
    </row>
    <row r="1632" spans="1:6" x14ac:dyDescent="0.3">
      <c r="A1632" s="4"/>
      <c r="B1632" s="1"/>
      <c r="C1632" s="2"/>
      <c r="D1632" s="2"/>
      <c r="E1632" s="5">
        <f t="shared" si="54"/>
        <v>0</v>
      </c>
      <c r="F1632" s="6">
        <f t="shared" si="55"/>
        <v>0</v>
      </c>
    </row>
    <row r="1633" spans="1:6" x14ac:dyDescent="0.3">
      <c r="A1633" s="4"/>
      <c r="B1633" s="1"/>
      <c r="C1633" s="2"/>
      <c r="D1633" s="2"/>
      <c r="E1633" s="5">
        <f t="shared" si="54"/>
        <v>0</v>
      </c>
      <c r="F1633" s="6">
        <f t="shared" si="55"/>
        <v>0</v>
      </c>
    </row>
    <row r="1634" spans="1:6" x14ac:dyDescent="0.3">
      <c r="A1634" s="4"/>
      <c r="B1634" s="1"/>
      <c r="C1634" s="2"/>
      <c r="D1634" s="2"/>
      <c r="E1634" s="5">
        <f t="shared" si="54"/>
        <v>0</v>
      </c>
      <c r="F1634" s="6">
        <f t="shared" si="55"/>
        <v>0</v>
      </c>
    </row>
    <row r="1635" spans="1:6" x14ac:dyDescent="0.3">
      <c r="A1635" s="4"/>
      <c r="B1635" s="1"/>
      <c r="C1635" s="2"/>
      <c r="D1635" s="2"/>
      <c r="E1635" s="5">
        <f t="shared" si="54"/>
        <v>0</v>
      </c>
      <c r="F1635" s="6">
        <f t="shared" si="55"/>
        <v>0</v>
      </c>
    </row>
    <row r="1636" spans="1:6" x14ac:dyDescent="0.3">
      <c r="A1636" s="4"/>
      <c r="B1636" s="1"/>
      <c r="C1636" s="2"/>
      <c r="D1636" s="2"/>
      <c r="E1636" s="5">
        <f t="shared" si="54"/>
        <v>0</v>
      </c>
      <c r="F1636" s="6">
        <f t="shared" si="55"/>
        <v>0</v>
      </c>
    </row>
    <row r="1637" spans="1:6" x14ac:dyDescent="0.3">
      <c r="A1637" s="4"/>
      <c r="B1637" s="1"/>
      <c r="C1637" s="2"/>
      <c r="D1637" s="2"/>
      <c r="E1637" s="5">
        <f t="shared" si="54"/>
        <v>0</v>
      </c>
      <c r="F1637" s="6">
        <f t="shared" si="55"/>
        <v>0</v>
      </c>
    </row>
    <row r="1638" spans="1:6" x14ac:dyDescent="0.3">
      <c r="A1638" s="4"/>
      <c r="B1638" s="1"/>
      <c r="C1638" s="2"/>
      <c r="D1638" s="2"/>
      <c r="E1638" s="5">
        <f t="shared" si="54"/>
        <v>0</v>
      </c>
      <c r="F1638" s="6">
        <f t="shared" si="55"/>
        <v>0</v>
      </c>
    </row>
    <row r="1639" spans="1:6" x14ac:dyDescent="0.3">
      <c r="A1639" s="4"/>
      <c r="B1639" s="1"/>
      <c r="C1639" s="2"/>
      <c r="D1639" s="2"/>
      <c r="E1639" s="5">
        <f t="shared" si="54"/>
        <v>0</v>
      </c>
      <c r="F1639" s="6">
        <f t="shared" si="55"/>
        <v>0</v>
      </c>
    </row>
    <row r="1640" spans="1:6" x14ac:dyDescent="0.3">
      <c r="A1640" s="4"/>
      <c r="B1640" s="1"/>
      <c r="C1640" s="2"/>
      <c r="D1640" s="2"/>
      <c r="E1640" s="5">
        <f t="shared" si="54"/>
        <v>0</v>
      </c>
      <c r="F1640" s="6">
        <f t="shared" si="55"/>
        <v>0</v>
      </c>
    </row>
    <row r="1641" spans="1:6" x14ac:dyDescent="0.3">
      <c r="A1641" s="4"/>
      <c r="B1641" s="1"/>
      <c r="C1641" s="2"/>
      <c r="D1641" s="2"/>
      <c r="E1641" s="5">
        <f t="shared" si="54"/>
        <v>0</v>
      </c>
      <c r="F1641" s="6">
        <f t="shared" si="55"/>
        <v>0</v>
      </c>
    </row>
    <row r="1642" spans="1:6" x14ac:dyDescent="0.3">
      <c r="A1642" s="4"/>
      <c r="B1642" s="1"/>
      <c r="C1642" s="2"/>
      <c r="D1642" s="2"/>
      <c r="E1642" s="5">
        <f t="shared" si="54"/>
        <v>0</v>
      </c>
      <c r="F1642" s="6">
        <f t="shared" si="55"/>
        <v>0</v>
      </c>
    </row>
    <row r="1643" spans="1:6" x14ac:dyDescent="0.3">
      <c r="A1643" s="4"/>
      <c r="B1643" s="1"/>
      <c r="C1643" s="2"/>
      <c r="D1643" s="2"/>
      <c r="E1643" s="5">
        <f t="shared" si="54"/>
        <v>0</v>
      </c>
      <c r="F1643" s="6">
        <f t="shared" si="55"/>
        <v>0</v>
      </c>
    </row>
    <row r="1644" spans="1:6" x14ac:dyDescent="0.3">
      <c r="A1644" s="4"/>
      <c r="B1644" s="1"/>
      <c r="C1644" s="2"/>
      <c r="D1644" s="2"/>
      <c r="E1644" s="5">
        <f t="shared" si="54"/>
        <v>0</v>
      </c>
      <c r="F1644" s="6">
        <f t="shared" si="55"/>
        <v>0</v>
      </c>
    </row>
    <row r="1645" spans="1:6" x14ac:dyDescent="0.3">
      <c r="A1645" s="4"/>
      <c r="B1645" s="1"/>
      <c r="C1645" s="2"/>
      <c r="D1645" s="2"/>
      <c r="E1645" s="5">
        <f t="shared" si="54"/>
        <v>0</v>
      </c>
      <c r="F1645" s="6">
        <f t="shared" si="55"/>
        <v>0</v>
      </c>
    </row>
    <row r="1646" spans="1:6" x14ac:dyDescent="0.3">
      <c r="A1646" s="4"/>
      <c r="B1646" s="1"/>
      <c r="C1646" s="2"/>
      <c r="D1646" s="2"/>
      <c r="E1646" s="5">
        <f t="shared" si="54"/>
        <v>0</v>
      </c>
      <c r="F1646" s="6">
        <f t="shared" si="55"/>
        <v>0</v>
      </c>
    </row>
    <row r="1647" spans="1:6" x14ac:dyDescent="0.3">
      <c r="A1647" s="4"/>
      <c r="B1647" s="1"/>
      <c r="C1647" s="2"/>
      <c r="D1647" s="2"/>
      <c r="E1647" s="5">
        <f t="shared" si="54"/>
        <v>0</v>
      </c>
      <c r="F1647" s="6">
        <f t="shared" si="55"/>
        <v>0</v>
      </c>
    </row>
    <row r="1648" spans="1:6" x14ac:dyDescent="0.3">
      <c r="A1648" s="4"/>
      <c r="B1648" s="1"/>
      <c r="C1648" s="2"/>
      <c r="D1648" s="2"/>
      <c r="E1648" s="5">
        <f t="shared" si="54"/>
        <v>0</v>
      </c>
      <c r="F1648" s="6">
        <f t="shared" si="55"/>
        <v>0</v>
      </c>
    </row>
    <row r="1649" spans="1:6" x14ac:dyDescent="0.3">
      <c r="A1649" s="4"/>
      <c r="B1649" s="1"/>
      <c r="C1649" s="2"/>
      <c r="D1649" s="2"/>
      <c r="E1649" s="5">
        <f t="shared" si="54"/>
        <v>0</v>
      </c>
      <c r="F1649" s="6">
        <f t="shared" si="55"/>
        <v>0</v>
      </c>
    </row>
    <row r="1650" spans="1:6" x14ac:dyDescent="0.3">
      <c r="A1650" s="4"/>
      <c r="B1650" s="1"/>
      <c r="C1650" s="2"/>
      <c r="D1650" s="2"/>
      <c r="E1650" s="5">
        <f t="shared" si="54"/>
        <v>0</v>
      </c>
      <c r="F1650" s="6">
        <f t="shared" si="55"/>
        <v>0</v>
      </c>
    </row>
    <row r="1651" spans="1:6" x14ac:dyDescent="0.3">
      <c r="A1651" s="4"/>
      <c r="B1651" s="1"/>
      <c r="C1651" s="2"/>
      <c r="D1651" s="2"/>
      <c r="E1651" s="5">
        <f t="shared" si="54"/>
        <v>0</v>
      </c>
      <c r="F1651" s="6">
        <f t="shared" si="55"/>
        <v>0</v>
      </c>
    </row>
    <row r="1652" spans="1:6" x14ac:dyDescent="0.3">
      <c r="A1652" s="4"/>
      <c r="B1652" s="1"/>
      <c r="C1652" s="2"/>
      <c r="D1652" s="2"/>
      <c r="E1652" s="5">
        <f t="shared" si="54"/>
        <v>0</v>
      </c>
      <c r="F1652" s="6">
        <f t="shared" si="55"/>
        <v>0</v>
      </c>
    </row>
    <row r="1653" spans="1:6" x14ac:dyDescent="0.3">
      <c r="A1653" s="4"/>
      <c r="B1653" s="1"/>
      <c r="C1653" s="2"/>
      <c r="D1653" s="2"/>
      <c r="E1653" s="5">
        <f t="shared" si="54"/>
        <v>0</v>
      </c>
      <c r="F1653" s="6">
        <f t="shared" si="55"/>
        <v>0</v>
      </c>
    </row>
    <row r="1654" spans="1:6" x14ac:dyDescent="0.3">
      <c r="A1654" s="4"/>
      <c r="B1654" s="1"/>
      <c r="C1654" s="2"/>
      <c r="D1654" s="2"/>
      <c r="E1654" s="5">
        <f t="shared" si="54"/>
        <v>0</v>
      </c>
      <c r="F1654" s="6">
        <f t="shared" si="55"/>
        <v>0</v>
      </c>
    </row>
    <row r="1655" spans="1:6" x14ac:dyDescent="0.3">
      <c r="A1655" s="4"/>
      <c r="B1655" s="1"/>
      <c r="C1655" s="2"/>
      <c r="D1655" s="2"/>
      <c r="E1655" s="5">
        <f t="shared" si="54"/>
        <v>0</v>
      </c>
      <c r="F1655" s="6">
        <f t="shared" si="55"/>
        <v>0</v>
      </c>
    </row>
    <row r="1656" spans="1:6" x14ac:dyDescent="0.3">
      <c r="A1656" s="4"/>
      <c r="B1656" s="1"/>
      <c r="C1656" s="2"/>
      <c r="D1656" s="2"/>
      <c r="E1656" s="5">
        <f t="shared" si="54"/>
        <v>0</v>
      </c>
      <c r="F1656" s="6">
        <f t="shared" si="55"/>
        <v>0</v>
      </c>
    </row>
    <row r="1657" spans="1:6" x14ac:dyDescent="0.3">
      <c r="A1657" s="4"/>
      <c r="B1657" s="1"/>
      <c r="C1657" s="2"/>
      <c r="D1657" s="2"/>
      <c r="E1657" s="5">
        <f t="shared" si="54"/>
        <v>0</v>
      </c>
      <c r="F1657" s="6">
        <f t="shared" si="55"/>
        <v>0</v>
      </c>
    </row>
    <row r="1658" spans="1:6" x14ac:dyDescent="0.3">
      <c r="A1658" s="4"/>
      <c r="B1658" s="1"/>
      <c r="C1658" s="2"/>
      <c r="D1658" s="2"/>
      <c r="E1658" s="5">
        <f t="shared" si="54"/>
        <v>0</v>
      </c>
      <c r="F1658" s="6">
        <f t="shared" si="55"/>
        <v>0</v>
      </c>
    </row>
    <row r="1659" spans="1:6" x14ac:dyDescent="0.3">
      <c r="A1659" s="4"/>
      <c r="B1659" s="1"/>
      <c r="C1659" s="2"/>
      <c r="D1659" s="2"/>
      <c r="E1659" s="5">
        <f t="shared" si="54"/>
        <v>0</v>
      </c>
      <c r="F1659" s="6">
        <f t="shared" si="55"/>
        <v>0</v>
      </c>
    </row>
    <row r="1660" spans="1:6" x14ac:dyDescent="0.3">
      <c r="A1660" s="4"/>
      <c r="B1660" s="1"/>
      <c r="C1660" s="2"/>
      <c r="D1660" s="2"/>
      <c r="E1660" s="5">
        <f t="shared" si="54"/>
        <v>0</v>
      </c>
      <c r="F1660" s="6">
        <f t="shared" si="55"/>
        <v>0</v>
      </c>
    </row>
    <row r="1661" spans="1:6" x14ac:dyDescent="0.3">
      <c r="A1661" s="4"/>
      <c r="B1661" s="1"/>
      <c r="C1661" s="2"/>
      <c r="D1661" s="2"/>
      <c r="E1661" s="5">
        <f t="shared" si="54"/>
        <v>0</v>
      </c>
      <c r="F1661" s="6">
        <f t="shared" si="55"/>
        <v>0</v>
      </c>
    </row>
    <row r="1662" spans="1:6" x14ac:dyDescent="0.3">
      <c r="A1662" s="4"/>
      <c r="B1662" s="1"/>
      <c r="C1662" s="2"/>
      <c r="D1662" s="2"/>
      <c r="E1662" s="5">
        <f t="shared" si="54"/>
        <v>0</v>
      </c>
      <c r="F1662" s="6">
        <f t="shared" si="55"/>
        <v>0</v>
      </c>
    </row>
    <row r="1663" spans="1:6" x14ac:dyDescent="0.3">
      <c r="A1663" s="4"/>
      <c r="B1663" s="1"/>
      <c r="C1663" s="2"/>
      <c r="D1663" s="2"/>
      <c r="E1663" s="5">
        <f t="shared" si="54"/>
        <v>0</v>
      </c>
      <c r="F1663" s="6">
        <f t="shared" si="55"/>
        <v>0</v>
      </c>
    </row>
    <row r="1664" spans="1:6" x14ac:dyDescent="0.3">
      <c r="A1664" s="4"/>
      <c r="B1664" s="1"/>
      <c r="C1664" s="2"/>
      <c r="D1664" s="2"/>
      <c r="E1664" s="5">
        <f t="shared" si="54"/>
        <v>0</v>
      </c>
      <c r="F1664" s="6">
        <f t="shared" si="55"/>
        <v>0</v>
      </c>
    </row>
    <row r="1665" spans="1:6" x14ac:dyDescent="0.3">
      <c r="A1665" s="4"/>
      <c r="B1665" s="1"/>
      <c r="C1665" s="2"/>
      <c r="D1665" s="2"/>
      <c r="E1665" s="5">
        <f t="shared" si="54"/>
        <v>0</v>
      </c>
      <c r="F1665" s="6">
        <f t="shared" si="55"/>
        <v>0</v>
      </c>
    </row>
    <row r="1666" spans="1:6" x14ac:dyDescent="0.3">
      <c r="A1666" s="4"/>
      <c r="B1666" s="1"/>
      <c r="C1666" s="2"/>
      <c r="D1666" s="2"/>
      <c r="E1666" s="5">
        <f t="shared" si="54"/>
        <v>0</v>
      </c>
      <c r="F1666" s="6">
        <f t="shared" si="55"/>
        <v>0</v>
      </c>
    </row>
    <row r="1667" spans="1:6" x14ac:dyDescent="0.3">
      <c r="A1667" s="4"/>
      <c r="B1667" s="1"/>
      <c r="C1667" s="2"/>
      <c r="D1667" s="2"/>
      <c r="E1667" s="5">
        <f t="shared" ref="E1667:E1730" si="56">D1667-C1667</f>
        <v>0</v>
      </c>
      <c r="F1667" s="6">
        <f t="shared" ref="F1667:F1730" si="57">ROUND(VALUE(E1667)*4,2)</f>
        <v>0</v>
      </c>
    </row>
    <row r="1668" spans="1:6" x14ac:dyDescent="0.3">
      <c r="A1668" s="4"/>
      <c r="B1668" s="1"/>
      <c r="C1668" s="2"/>
      <c r="D1668" s="2"/>
      <c r="E1668" s="5">
        <f t="shared" si="56"/>
        <v>0</v>
      </c>
      <c r="F1668" s="6">
        <f t="shared" si="57"/>
        <v>0</v>
      </c>
    </row>
    <row r="1669" spans="1:6" x14ac:dyDescent="0.3">
      <c r="A1669" s="4"/>
      <c r="B1669" s="1"/>
      <c r="C1669" s="2"/>
      <c r="D1669" s="2"/>
      <c r="E1669" s="5">
        <f t="shared" si="56"/>
        <v>0</v>
      </c>
      <c r="F1669" s="6">
        <f t="shared" si="57"/>
        <v>0</v>
      </c>
    </row>
    <row r="1670" spans="1:6" x14ac:dyDescent="0.3">
      <c r="A1670" s="4"/>
      <c r="B1670" s="1"/>
      <c r="C1670" s="2"/>
      <c r="D1670" s="2"/>
      <c r="E1670" s="5">
        <f t="shared" si="56"/>
        <v>0</v>
      </c>
      <c r="F1670" s="6">
        <f t="shared" si="57"/>
        <v>0</v>
      </c>
    </row>
    <row r="1671" spans="1:6" x14ac:dyDescent="0.3">
      <c r="A1671" s="4"/>
      <c r="B1671" s="1"/>
      <c r="C1671" s="2"/>
      <c r="D1671" s="2"/>
      <c r="E1671" s="5">
        <f t="shared" si="56"/>
        <v>0</v>
      </c>
      <c r="F1671" s="6">
        <f t="shared" si="57"/>
        <v>0</v>
      </c>
    </row>
    <row r="1672" spans="1:6" x14ac:dyDescent="0.3">
      <c r="A1672" s="4"/>
      <c r="B1672" s="1"/>
      <c r="C1672" s="2"/>
      <c r="D1672" s="2"/>
      <c r="E1672" s="5">
        <f t="shared" si="56"/>
        <v>0</v>
      </c>
      <c r="F1672" s="6">
        <f t="shared" si="57"/>
        <v>0</v>
      </c>
    </row>
    <row r="1673" spans="1:6" x14ac:dyDescent="0.3">
      <c r="A1673" s="4"/>
      <c r="B1673" s="1"/>
      <c r="C1673" s="2"/>
      <c r="D1673" s="2"/>
      <c r="E1673" s="5">
        <f t="shared" si="56"/>
        <v>0</v>
      </c>
      <c r="F1673" s="6">
        <f t="shared" si="57"/>
        <v>0</v>
      </c>
    </row>
    <row r="1674" spans="1:6" x14ac:dyDescent="0.3">
      <c r="A1674" s="4"/>
      <c r="B1674" s="1"/>
      <c r="C1674" s="2"/>
      <c r="D1674" s="2"/>
      <c r="E1674" s="5">
        <f t="shared" si="56"/>
        <v>0</v>
      </c>
      <c r="F1674" s="6">
        <f t="shared" si="57"/>
        <v>0</v>
      </c>
    </row>
    <row r="1675" spans="1:6" x14ac:dyDescent="0.3">
      <c r="A1675" s="4"/>
      <c r="B1675" s="1"/>
      <c r="C1675" s="2"/>
      <c r="D1675" s="2"/>
      <c r="E1675" s="5">
        <f t="shared" si="56"/>
        <v>0</v>
      </c>
      <c r="F1675" s="6">
        <f t="shared" si="57"/>
        <v>0</v>
      </c>
    </row>
    <row r="1676" spans="1:6" x14ac:dyDescent="0.3">
      <c r="A1676" s="4"/>
      <c r="B1676" s="1"/>
      <c r="C1676" s="2"/>
      <c r="D1676" s="2"/>
      <c r="E1676" s="5">
        <f t="shared" si="56"/>
        <v>0</v>
      </c>
      <c r="F1676" s="6">
        <f t="shared" si="57"/>
        <v>0</v>
      </c>
    </row>
    <row r="1677" spans="1:6" x14ac:dyDescent="0.3">
      <c r="A1677" s="4"/>
      <c r="B1677" s="1"/>
      <c r="C1677" s="2"/>
      <c r="D1677" s="2"/>
      <c r="E1677" s="5">
        <f t="shared" si="56"/>
        <v>0</v>
      </c>
      <c r="F1677" s="6">
        <f t="shared" si="57"/>
        <v>0</v>
      </c>
    </row>
    <row r="1678" spans="1:6" x14ac:dyDescent="0.3">
      <c r="A1678" s="4"/>
      <c r="B1678" s="1"/>
      <c r="C1678" s="2"/>
      <c r="D1678" s="2"/>
      <c r="E1678" s="5">
        <f t="shared" si="56"/>
        <v>0</v>
      </c>
      <c r="F1678" s="6">
        <f t="shared" si="57"/>
        <v>0</v>
      </c>
    </row>
    <row r="1679" spans="1:6" x14ac:dyDescent="0.3">
      <c r="A1679" s="4"/>
      <c r="B1679" s="1"/>
      <c r="C1679" s="2"/>
      <c r="D1679" s="2"/>
      <c r="E1679" s="5">
        <f t="shared" si="56"/>
        <v>0</v>
      </c>
      <c r="F1679" s="6">
        <f t="shared" si="57"/>
        <v>0</v>
      </c>
    </row>
    <row r="1680" spans="1:6" x14ac:dyDescent="0.3">
      <c r="A1680" s="4"/>
      <c r="B1680" s="1"/>
      <c r="C1680" s="2"/>
      <c r="D1680" s="2"/>
      <c r="E1680" s="5">
        <f t="shared" si="56"/>
        <v>0</v>
      </c>
      <c r="F1680" s="6">
        <f t="shared" si="57"/>
        <v>0</v>
      </c>
    </row>
    <row r="1681" spans="1:6" x14ac:dyDescent="0.3">
      <c r="A1681" s="4"/>
      <c r="B1681" s="1"/>
      <c r="C1681" s="2"/>
      <c r="D1681" s="2"/>
      <c r="E1681" s="5">
        <f t="shared" si="56"/>
        <v>0</v>
      </c>
      <c r="F1681" s="6">
        <f t="shared" si="57"/>
        <v>0</v>
      </c>
    </row>
    <row r="1682" spans="1:6" x14ac:dyDescent="0.3">
      <c r="A1682" s="4"/>
      <c r="B1682" s="1"/>
      <c r="C1682" s="2"/>
      <c r="D1682" s="2"/>
      <c r="E1682" s="5">
        <f t="shared" si="56"/>
        <v>0</v>
      </c>
      <c r="F1682" s="6">
        <f t="shared" si="57"/>
        <v>0</v>
      </c>
    </row>
    <row r="1683" spans="1:6" x14ac:dyDescent="0.3">
      <c r="A1683" s="4"/>
      <c r="B1683" s="1"/>
      <c r="C1683" s="2"/>
      <c r="D1683" s="2"/>
      <c r="E1683" s="5">
        <f t="shared" si="56"/>
        <v>0</v>
      </c>
      <c r="F1683" s="6">
        <f t="shared" si="57"/>
        <v>0</v>
      </c>
    </row>
    <row r="1684" spans="1:6" x14ac:dyDescent="0.3">
      <c r="A1684" s="4"/>
      <c r="B1684" s="1"/>
      <c r="C1684" s="2"/>
      <c r="D1684" s="2"/>
      <c r="E1684" s="5">
        <f t="shared" si="56"/>
        <v>0</v>
      </c>
      <c r="F1684" s="6">
        <f t="shared" si="57"/>
        <v>0</v>
      </c>
    </row>
    <row r="1685" spans="1:6" x14ac:dyDescent="0.3">
      <c r="A1685" s="4"/>
      <c r="B1685" s="1"/>
      <c r="C1685" s="2"/>
      <c r="D1685" s="2"/>
      <c r="E1685" s="5">
        <f t="shared" si="56"/>
        <v>0</v>
      </c>
      <c r="F1685" s="6">
        <f t="shared" si="57"/>
        <v>0</v>
      </c>
    </row>
    <row r="1686" spans="1:6" x14ac:dyDescent="0.3">
      <c r="A1686" s="4"/>
      <c r="B1686" s="1"/>
      <c r="C1686" s="2"/>
      <c r="D1686" s="2"/>
      <c r="E1686" s="5">
        <f t="shared" si="56"/>
        <v>0</v>
      </c>
      <c r="F1686" s="6">
        <f t="shared" si="57"/>
        <v>0</v>
      </c>
    </row>
    <row r="1687" spans="1:6" x14ac:dyDescent="0.3">
      <c r="A1687" s="4"/>
      <c r="B1687" s="1"/>
      <c r="C1687" s="2"/>
      <c r="D1687" s="2"/>
      <c r="E1687" s="5">
        <f t="shared" si="56"/>
        <v>0</v>
      </c>
      <c r="F1687" s="6">
        <f t="shared" si="57"/>
        <v>0</v>
      </c>
    </row>
    <row r="1688" spans="1:6" x14ac:dyDescent="0.3">
      <c r="A1688" s="4"/>
      <c r="B1688" s="1"/>
      <c r="C1688" s="2"/>
      <c r="D1688" s="2"/>
      <c r="E1688" s="5">
        <f t="shared" si="56"/>
        <v>0</v>
      </c>
      <c r="F1688" s="6">
        <f t="shared" si="57"/>
        <v>0</v>
      </c>
    </row>
    <row r="1689" spans="1:6" x14ac:dyDescent="0.3">
      <c r="A1689" s="4"/>
      <c r="B1689" s="1"/>
      <c r="C1689" s="2"/>
      <c r="D1689" s="2"/>
      <c r="E1689" s="5">
        <f t="shared" si="56"/>
        <v>0</v>
      </c>
      <c r="F1689" s="6">
        <f t="shared" si="57"/>
        <v>0</v>
      </c>
    </row>
    <row r="1690" spans="1:6" x14ac:dyDescent="0.3">
      <c r="A1690" s="4"/>
      <c r="B1690" s="1"/>
      <c r="C1690" s="2"/>
      <c r="D1690" s="2"/>
      <c r="E1690" s="5">
        <f t="shared" si="56"/>
        <v>0</v>
      </c>
      <c r="F1690" s="6">
        <f t="shared" si="57"/>
        <v>0</v>
      </c>
    </row>
    <row r="1691" spans="1:6" x14ac:dyDescent="0.3">
      <c r="A1691" s="4"/>
      <c r="B1691" s="1"/>
      <c r="C1691" s="2"/>
      <c r="D1691" s="2"/>
      <c r="E1691" s="5">
        <f t="shared" si="56"/>
        <v>0</v>
      </c>
      <c r="F1691" s="6">
        <f t="shared" si="57"/>
        <v>0</v>
      </c>
    </row>
    <row r="1692" spans="1:6" x14ac:dyDescent="0.3">
      <c r="A1692" s="4"/>
      <c r="B1692" s="1"/>
      <c r="C1692" s="2"/>
      <c r="D1692" s="2"/>
      <c r="E1692" s="5">
        <f t="shared" si="56"/>
        <v>0</v>
      </c>
      <c r="F1692" s="6">
        <f t="shared" si="57"/>
        <v>0</v>
      </c>
    </row>
    <row r="1693" spans="1:6" x14ac:dyDescent="0.3">
      <c r="A1693" s="4"/>
      <c r="B1693" s="1"/>
      <c r="C1693" s="2"/>
      <c r="D1693" s="2"/>
      <c r="E1693" s="5">
        <f t="shared" si="56"/>
        <v>0</v>
      </c>
      <c r="F1693" s="6">
        <f t="shared" si="57"/>
        <v>0</v>
      </c>
    </row>
    <row r="1694" spans="1:6" x14ac:dyDescent="0.3">
      <c r="A1694" s="4"/>
      <c r="B1694" s="1"/>
      <c r="C1694" s="2"/>
      <c r="D1694" s="2"/>
      <c r="E1694" s="5">
        <f t="shared" si="56"/>
        <v>0</v>
      </c>
      <c r="F1694" s="6">
        <f t="shared" si="57"/>
        <v>0</v>
      </c>
    </row>
    <row r="1695" spans="1:6" x14ac:dyDescent="0.3">
      <c r="A1695" s="4"/>
      <c r="B1695" s="1"/>
      <c r="C1695" s="2"/>
      <c r="D1695" s="2"/>
      <c r="E1695" s="5">
        <f t="shared" si="56"/>
        <v>0</v>
      </c>
      <c r="F1695" s="6">
        <f t="shared" si="57"/>
        <v>0</v>
      </c>
    </row>
    <row r="1696" spans="1:6" x14ac:dyDescent="0.3">
      <c r="A1696" s="4"/>
      <c r="B1696" s="1"/>
      <c r="C1696" s="2"/>
      <c r="D1696" s="2"/>
      <c r="E1696" s="5">
        <f t="shared" si="56"/>
        <v>0</v>
      </c>
      <c r="F1696" s="6">
        <f t="shared" si="57"/>
        <v>0</v>
      </c>
    </row>
    <row r="1697" spans="1:6" x14ac:dyDescent="0.3">
      <c r="A1697" s="4"/>
      <c r="B1697" s="1"/>
      <c r="C1697" s="2"/>
      <c r="D1697" s="2"/>
      <c r="E1697" s="5">
        <f t="shared" si="56"/>
        <v>0</v>
      </c>
      <c r="F1697" s="6">
        <f t="shared" si="57"/>
        <v>0</v>
      </c>
    </row>
    <row r="1698" spans="1:6" x14ac:dyDescent="0.3">
      <c r="A1698" s="4"/>
      <c r="B1698" s="1"/>
      <c r="C1698" s="2"/>
      <c r="D1698" s="2"/>
      <c r="E1698" s="5">
        <f t="shared" si="56"/>
        <v>0</v>
      </c>
      <c r="F1698" s="6">
        <f t="shared" si="57"/>
        <v>0</v>
      </c>
    </row>
    <row r="1699" spans="1:6" x14ac:dyDescent="0.3">
      <c r="A1699" s="4"/>
      <c r="B1699" s="1"/>
      <c r="C1699" s="2"/>
      <c r="D1699" s="2"/>
      <c r="E1699" s="5">
        <f t="shared" si="56"/>
        <v>0</v>
      </c>
      <c r="F1699" s="6">
        <f t="shared" si="57"/>
        <v>0</v>
      </c>
    </row>
    <row r="1700" spans="1:6" x14ac:dyDescent="0.3">
      <c r="A1700" s="4"/>
      <c r="B1700" s="1"/>
      <c r="C1700" s="2"/>
      <c r="D1700" s="2"/>
      <c r="E1700" s="5">
        <f t="shared" si="56"/>
        <v>0</v>
      </c>
      <c r="F1700" s="6">
        <f t="shared" si="57"/>
        <v>0</v>
      </c>
    </row>
    <row r="1701" spans="1:6" x14ac:dyDescent="0.3">
      <c r="A1701" s="4"/>
      <c r="B1701" s="1"/>
      <c r="C1701" s="2"/>
      <c r="D1701" s="2"/>
      <c r="E1701" s="5">
        <f t="shared" si="56"/>
        <v>0</v>
      </c>
      <c r="F1701" s="6">
        <f t="shared" si="57"/>
        <v>0</v>
      </c>
    </row>
    <row r="1702" spans="1:6" x14ac:dyDescent="0.3">
      <c r="A1702" s="4"/>
      <c r="B1702" s="1"/>
      <c r="C1702" s="2"/>
      <c r="D1702" s="2"/>
      <c r="E1702" s="5">
        <f t="shared" si="56"/>
        <v>0</v>
      </c>
      <c r="F1702" s="6">
        <f t="shared" si="57"/>
        <v>0</v>
      </c>
    </row>
    <row r="1703" spans="1:6" x14ac:dyDescent="0.3">
      <c r="A1703" s="4"/>
      <c r="B1703" s="1"/>
      <c r="C1703" s="2"/>
      <c r="D1703" s="2"/>
      <c r="E1703" s="5">
        <f t="shared" si="56"/>
        <v>0</v>
      </c>
      <c r="F1703" s="6">
        <f t="shared" si="57"/>
        <v>0</v>
      </c>
    </row>
    <row r="1704" spans="1:6" x14ac:dyDescent="0.3">
      <c r="A1704" s="4"/>
      <c r="B1704" s="1"/>
      <c r="C1704" s="2"/>
      <c r="D1704" s="2"/>
      <c r="E1704" s="5">
        <f t="shared" si="56"/>
        <v>0</v>
      </c>
      <c r="F1704" s="6">
        <f t="shared" si="57"/>
        <v>0</v>
      </c>
    </row>
    <row r="1705" spans="1:6" x14ac:dyDescent="0.3">
      <c r="A1705" s="4"/>
      <c r="B1705" s="1"/>
      <c r="C1705" s="2"/>
      <c r="D1705" s="2"/>
      <c r="E1705" s="5">
        <f t="shared" si="56"/>
        <v>0</v>
      </c>
      <c r="F1705" s="6">
        <f t="shared" si="57"/>
        <v>0</v>
      </c>
    </row>
    <row r="1706" spans="1:6" x14ac:dyDescent="0.3">
      <c r="A1706" s="4"/>
      <c r="B1706" s="1"/>
      <c r="C1706" s="2"/>
      <c r="D1706" s="2"/>
      <c r="E1706" s="5">
        <f t="shared" si="56"/>
        <v>0</v>
      </c>
      <c r="F1706" s="6">
        <f t="shared" si="57"/>
        <v>0</v>
      </c>
    </row>
    <row r="1707" spans="1:6" x14ac:dyDescent="0.3">
      <c r="A1707" s="4"/>
      <c r="B1707" s="1"/>
      <c r="C1707" s="2"/>
      <c r="D1707" s="2"/>
      <c r="E1707" s="5">
        <f t="shared" si="56"/>
        <v>0</v>
      </c>
      <c r="F1707" s="6">
        <f t="shared" si="57"/>
        <v>0</v>
      </c>
    </row>
    <row r="1708" spans="1:6" x14ac:dyDescent="0.3">
      <c r="A1708" s="4"/>
      <c r="B1708" s="1"/>
      <c r="C1708" s="2"/>
      <c r="D1708" s="2"/>
      <c r="E1708" s="5">
        <f t="shared" si="56"/>
        <v>0</v>
      </c>
      <c r="F1708" s="6">
        <f t="shared" si="57"/>
        <v>0</v>
      </c>
    </row>
    <row r="1709" spans="1:6" x14ac:dyDescent="0.3">
      <c r="A1709" s="4"/>
      <c r="B1709" s="1"/>
      <c r="C1709" s="2"/>
      <c r="D1709" s="2"/>
      <c r="E1709" s="5">
        <f t="shared" si="56"/>
        <v>0</v>
      </c>
      <c r="F1709" s="6">
        <f t="shared" si="57"/>
        <v>0</v>
      </c>
    </row>
    <row r="1710" spans="1:6" x14ac:dyDescent="0.3">
      <c r="A1710" s="4"/>
      <c r="B1710" s="1"/>
      <c r="C1710" s="2"/>
      <c r="D1710" s="2"/>
      <c r="E1710" s="5">
        <f t="shared" si="56"/>
        <v>0</v>
      </c>
      <c r="F1710" s="6">
        <f t="shared" si="57"/>
        <v>0</v>
      </c>
    </row>
    <row r="1711" spans="1:6" x14ac:dyDescent="0.3">
      <c r="A1711" s="4"/>
      <c r="B1711" s="1"/>
      <c r="C1711" s="2"/>
      <c r="D1711" s="2"/>
      <c r="E1711" s="5">
        <f t="shared" si="56"/>
        <v>0</v>
      </c>
      <c r="F1711" s="6">
        <f t="shared" si="57"/>
        <v>0</v>
      </c>
    </row>
    <row r="1712" spans="1:6" x14ac:dyDescent="0.3">
      <c r="A1712" s="4"/>
      <c r="B1712" s="1"/>
      <c r="C1712" s="2"/>
      <c r="D1712" s="2"/>
      <c r="E1712" s="5">
        <f t="shared" si="56"/>
        <v>0</v>
      </c>
      <c r="F1712" s="6">
        <f t="shared" si="57"/>
        <v>0</v>
      </c>
    </row>
    <row r="1713" spans="1:6" x14ac:dyDescent="0.3">
      <c r="A1713" s="4"/>
      <c r="B1713" s="1"/>
      <c r="C1713" s="2"/>
      <c r="D1713" s="2"/>
      <c r="E1713" s="5">
        <f t="shared" si="56"/>
        <v>0</v>
      </c>
      <c r="F1713" s="6">
        <f t="shared" si="57"/>
        <v>0</v>
      </c>
    </row>
    <row r="1714" spans="1:6" x14ac:dyDescent="0.3">
      <c r="A1714" s="4"/>
      <c r="B1714" s="1"/>
      <c r="C1714" s="2"/>
      <c r="D1714" s="2"/>
      <c r="E1714" s="5">
        <f t="shared" si="56"/>
        <v>0</v>
      </c>
      <c r="F1714" s="6">
        <f t="shared" si="57"/>
        <v>0</v>
      </c>
    </row>
    <row r="1715" spans="1:6" x14ac:dyDescent="0.3">
      <c r="A1715" s="4"/>
      <c r="B1715" s="1"/>
      <c r="C1715" s="2"/>
      <c r="D1715" s="2"/>
      <c r="E1715" s="5">
        <f t="shared" si="56"/>
        <v>0</v>
      </c>
      <c r="F1715" s="6">
        <f t="shared" si="57"/>
        <v>0</v>
      </c>
    </row>
    <row r="1716" spans="1:6" x14ac:dyDescent="0.3">
      <c r="A1716" s="4"/>
      <c r="B1716" s="1"/>
      <c r="C1716" s="2"/>
      <c r="D1716" s="2"/>
      <c r="E1716" s="5">
        <f t="shared" si="56"/>
        <v>0</v>
      </c>
      <c r="F1716" s="6">
        <f t="shared" si="57"/>
        <v>0</v>
      </c>
    </row>
    <row r="1717" spans="1:6" x14ac:dyDescent="0.3">
      <c r="A1717" s="4"/>
      <c r="B1717" s="1"/>
      <c r="C1717" s="2"/>
      <c r="D1717" s="2"/>
      <c r="E1717" s="5">
        <f t="shared" si="56"/>
        <v>0</v>
      </c>
      <c r="F1717" s="6">
        <f t="shared" si="57"/>
        <v>0</v>
      </c>
    </row>
    <row r="1718" spans="1:6" x14ac:dyDescent="0.3">
      <c r="A1718" s="4"/>
      <c r="B1718" s="1"/>
      <c r="C1718" s="2"/>
      <c r="D1718" s="2"/>
      <c r="E1718" s="5">
        <f t="shared" si="56"/>
        <v>0</v>
      </c>
      <c r="F1718" s="6">
        <f t="shared" si="57"/>
        <v>0</v>
      </c>
    </row>
    <row r="1719" spans="1:6" x14ac:dyDescent="0.3">
      <c r="A1719" s="4"/>
      <c r="B1719" s="1"/>
      <c r="C1719" s="2"/>
      <c r="D1719" s="2"/>
      <c r="E1719" s="5">
        <f t="shared" si="56"/>
        <v>0</v>
      </c>
      <c r="F1719" s="6">
        <f t="shared" si="57"/>
        <v>0</v>
      </c>
    </row>
    <row r="1720" spans="1:6" x14ac:dyDescent="0.3">
      <c r="A1720" s="4"/>
      <c r="B1720" s="1"/>
      <c r="C1720" s="2"/>
      <c r="D1720" s="2"/>
      <c r="E1720" s="5">
        <f t="shared" si="56"/>
        <v>0</v>
      </c>
      <c r="F1720" s="6">
        <f t="shared" si="57"/>
        <v>0</v>
      </c>
    </row>
    <row r="1721" spans="1:6" x14ac:dyDescent="0.3">
      <c r="A1721" s="4"/>
      <c r="B1721" s="1"/>
      <c r="C1721" s="2"/>
      <c r="D1721" s="2"/>
      <c r="E1721" s="5">
        <f t="shared" si="56"/>
        <v>0</v>
      </c>
      <c r="F1721" s="6">
        <f t="shared" si="57"/>
        <v>0</v>
      </c>
    </row>
    <row r="1722" spans="1:6" x14ac:dyDescent="0.3">
      <c r="A1722" s="4"/>
      <c r="B1722" s="1"/>
      <c r="C1722" s="2"/>
      <c r="D1722" s="2"/>
      <c r="E1722" s="5">
        <f t="shared" si="56"/>
        <v>0</v>
      </c>
      <c r="F1722" s="6">
        <f t="shared" si="57"/>
        <v>0</v>
      </c>
    </row>
    <row r="1723" spans="1:6" x14ac:dyDescent="0.3">
      <c r="A1723" s="4"/>
      <c r="B1723" s="1"/>
      <c r="C1723" s="2"/>
      <c r="D1723" s="2"/>
      <c r="E1723" s="5">
        <f t="shared" si="56"/>
        <v>0</v>
      </c>
      <c r="F1723" s="6">
        <f t="shared" si="57"/>
        <v>0</v>
      </c>
    </row>
    <row r="1724" spans="1:6" x14ac:dyDescent="0.3">
      <c r="A1724" s="4"/>
      <c r="B1724" s="1"/>
      <c r="C1724" s="2"/>
      <c r="D1724" s="2"/>
      <c r="E1724" s="5">
        <f t="shared" si="56"/>
        <v>0</v>
      </c>
      <c r="F1724" s="6">
        <f t="shared" si="57"/>
        <v>0</v>
      </c>
    </row>
    <row r="1725" spans="1:6" x14ac:dyDescent="0.3">
      <c r="A1725" s="4"/>
      <c r="B1725" s="1"/>
      <c r="C1725" s="2"/>
      <c r="D1725" s="2"/>
      <c r="E1725" s="5">
        <f t="shared" si="56"/>
        <v>0</v>
      </c>
      <c r="F1725" s="6">
        <f t="shared" si="57"/>
        <v>0</v>
      </c>
    </row>
    <row r="1726" spans="1:6" x14ac:dyDescent="0.3">
      <c r="A1726" s="4"/>
      <c r="B1726" s="1"/>
      <c r="C1726" s="2"/>
      <c r="D1726" s="2"/>
      <c r="E1726" s="5">
        <f t="shared" si="56"/>
        <v>0</v>
      </c>
      <c r="F1726" s="6">
        <f t="shared" si="57"/>
        <v>0</v>
      </c>
    </row>
    <row r="1727" spans="1:6" x14ac:dyDescent="0.3">
      <c r="A1727" s="4"/>
      <c r="B1727" s="1"/>
      <c r="C1727" s="2"/>
      <c r="D1727" s="2"/>
      <c r="E1727" s="5">
        <f t="shared" si="56"/>
        <v>0</v>
      </c>
      <c r="F1727" s="6">
        <f t="shared" si="57"/>
        <v>0</v>
      </c>
    </row>
    <row r="1728" spans="1:6" x14ac:dyDescent="0.3">
      <c r="A1728" s="4"/>
      <c r="B1728" s="1"/>
      <c r="C1728" s="2"/>
      <c r="D1728" s="2"/>
      <c r="E1728" s="5">
        <f t="shared" si="56"/>
        <v>0</v>
      </c>
      <c r="F1728" s="6">
        <f t="shared" si="57"/>
        <v>0</v>
      </c>
    </row>
    <row r="1729" spans="1:6" x14ac:dyDescent="0.3">
      <c r="A1729" s="4"/>
      <c r="B1729" s="1"/>
      <c r="C1729" s="2"/>
      <c r="D1729" s="2"/>
      <c r="E1729" s="5">
        <f t="shared" si="56"/>
        <v>0</v>
      </c>
      <c r="F1729" s="6">
        <f t="shared" si="57"/>
        <v>0</v>
      </c>
    </row>
    <row r="1730" spans="1:6" x14ac:dyDescent="0.3">
      <c r="A1730" s="4"/>
      <c r="B1730" s="1"/>
      <c r="C1730" s="2"/>
      <c r="D1730" s="2"/>
      <c r="E1730" s="5">
        <f t="shared" si="56"/>
        <v>0</v>
      </c>
      <c r="F1730" s="6">
        <f t="shared" si="57"/>
        <v>0</v>
      </c>
    </row>
    <row r="1731" spans="1:6" x14ac:dyDescent="0.3">
      <c r="A1731" s="4"/>
      <c r="B1731" s="1"/>
      <c r="C1731" s="2"/>
      <c r="D1731" s="2"/>
      <c r="E1731" s="5">
        <f t="shared" ref="E1731:E1794" si="58">D1731-C1731</f>
        <v>0</v>
      </c>
      <c r="F1731" s="6">
        <f t="shared" ref="F1731:F1794" si="59">ROUND(VALUE(E1731)*4,2)</f>
        <v>0</v>
      </c>
    </row>
    <row r="1732" spans="1:6" x14ac:dyDescent="0.3">
      <c r="A1732" s="4"/>
      <c r="B1732" s="1"/>
      <c r="C1732" s="2"/>
      <c r="D1732" s="2"/>
      <c r="E1732" s="5">
        <f t="shared" si="58"/>
        <v>0</v>
      </c>
      <c r="F1732" s="6">
        <f t="shared" si="59"/>
        <v>0</v>
      </c>
    </row>
    <row r="1733" spans="1:6" x14ac:dyDescent="0.3">
      <c r="A1733" s="4"/>
      <c r="B1733" s="1"/>
      <c r="C1733" s="2"/>
      <c r="D1733" s="2"/>
      <c r="E1733" s="5">
        <f t="shared" si="58"/>
        <v>0</v>
      </c>
      <c r="F1733" s="6">
        <f t="shared" si="59"/>
        <v>0</v>
      </c>
    </row>
    <row r="1734" spans="1:6" x14ac:dyDescent="0.3">
      <c r="A1734" s="4"/>
      <c r="B1734" s="1"/>
      <c r="C1734" s="2"/>
      <c r="D1734" s="2"/>
      <c r="E1734" s="5">
        <f t="shared" si="58"/>
        <v>0</v>
      </c>
      <c r="F1734" s="6">
        <f t="shared" si="59"/>
        <v>0</v>
      </c>
    </row>
    <row r="1735" spans="1:6" x14ac:dyDescent="0.3">
      <c r="A1735" s="4"/>
      <c r="B1735" s="1"/>
      <c r="C1735" s="2"/>
      <c r="D1735" s="2"/>
      <c r="E1735" s="5">
        <f t="shared" si="58"/>
        <v>0</v>
      </c>
      <c r="F1735" s="6">
        <f t="shared" si="59"/>
        <v>0</v>
      </c>
    </row>
    <row r="1736" spans="1:6" x14ac:dyDescent="0.3">
      <c r="A1736" s="4"/>
      <c r="B1736" s="1"/>
      <c r="C1736" s="2"/>
      <c r="D1736" s="2"/>
      <c r="E1736" s="5">
        <f t="shared" si="58"/>
        <v>0</v>
      </c>
      <c r="F1736" s="6">
        <f t="shared" si="59"/>
        <v>0</v>
      </c>
    </row>
    <row r="1737" spans="1:6" x14ac:dyDescent="0.3">
      <c r="A1737" s="4"/>
      <c r="B1737" s="1"/>
      <c r="C1737" s="2"/>
      <c r="D1737" s="2"/>
      <c r="E1737" s="5">
        <f t="shared" si="58"/>
        <v>0</v>
      </c>
      <c r="F1737" s="6">
        <f t="shared" si="59"/>
        <v>0</v>
      </c>
    </row>
    <row r="1738" spans="1:6" x14ac:dyDescent="0.3">
      <c r="A1738" s="4"/>
      <c r="B1738" s="1"/>
      <c r="C1738" s="2"/>
      <c r="D1738" s="2"/>
      <c r="E1738" s="5">
        <f t="shared" si="58"/>
        <v>0</v>
      </c>
      <c r="F1738" s="6">
        <f t="shared" si="59"/>
        <v>0</v>
      </c>
    </row>
    <row r="1739" spans="1:6" x14ac:dyDescent="0.3">
      <c r="A1739" s="4"/>
      <c r="B1739" s="1"/>
      <c r="C1739" s="2"/>
      <c r="D1739" s="2"/>
      <c r="E1739" s="5">
        <f t="shared" si="58"/>
        <v>0</v>
      </c>
      <c r="F1739" s="6">
        <f t="shared" si="59"/>
        <v>0</v>
      </c>
    </row>
    <row r="1740" spans="1:6" x14ac:dyDescent="0.3">
      <c r="A1740" s="4"/>
      <c r="B1740" s="1"/>
      <c r="C1740" s="2"/>
      <c r="D1740" s="2"/>
      <c r="E1740" s="5">
        <f t="shared" si="58"/>
        <v>0</v>
      </c>
      <c r="F1740" s="6">
        <f t="shared" si="59"/>
        <v>0</v>
      </c>
    </row>
    <row r="1741" spans="1:6" x14ac:dyDescent="0.3">
      <c r="A1741" s="4"/>
      <c r="B1741" s="1"/>
      <c r="C1741" s="2"/>
      <c r="D1741" s="2"/>
      <c r="E1741" s="5">
        <f t="shared" si="58"/>
        <v>0</v>
      </c>
      <c r="F1741" s="6">
        <f t="shared" si="59"/>
        <v>0</v>
      </c>
    </row>
    <row r="1742" spans="1:6" x14ac:dyDescent="0.3">
      <c r="A1742" s="4"/>
      <c r="B1742" s="1"/>
      <c r="C1742" s="2"/>
      <c r="D1742" s="2"/>
      <c r="E1742" s="5">
        <f t="shared" si="58"/>
        <v>0</v>
      </c>
      <c r="F1742" s="6">
        <f t="shared" si="59"/>
        <v>0</v>
      </c>
    </row>
    <row r="1743" spans="1:6" x14ac:dyDescent="0.3">
      <c r="A1743" s="4"/>
      <c r="B1743" s="1"/>
      <c r="C1743" s="2"/>
      <c r="D1743" s="2"/>
      <c r="E1743" s="5">
        <f t="shared" si="58"/>
        <v>0</v>
      </c>
      <c r="F1743" s="6">
        <f t="shared" si="59"/>
        <v>0</v>
      </c>
    </row>
    <row r="1744" spans="1:6" x14ac:dyDescent="0.3">
      <c r="A1744" s="4"/>
      <c r="B1744" s="1"/>
      <c r="C1744" s="2"/>
      <c r="D1744" s="2"/>
      <c r="E1744" s="5">
        <f t="shared" si="58"/>
        <v>0</v>
      </c>
      <c r="F1744" s="6">
        <f t="shared" si="59"/>
        <v>0</v>
      </c>
    </row>
    <row r="1745" spans="1:6" x14ac:dyDescent="0.3">
      <c r="A1745" s="4"/>
      <c r="B1745" s="1"/>
      <c r="C1745" s="2"/>
      <c r="D1745" s="2"/>
      <c r="E1745" s="5">
        <f t="shared" si="58"/>
        <v>0</v>
      </c>
      <c r="F1745" s="6">
        <f t="shared" si="59"/>
        <v>0</v>
      </c>
    </row>
    <row r="1746" spans="1:6" x14ac:dyDescent="0.3">
      <c r="A1746" s="4"/>
      <c r="B1746" s="1"/>
      <c r="C1746" s="2"/>
      <c r="D1746" s="2"/>
      <c r="E1746" s="5">
        <f t="shared" si="58"/>
        <v>0</v>
      </c>
      <c r="F1746" s="6">
        <f t="shared" si="59"/>
        <v>0</v>
      </c>
    </row>
    <row r="1747" spans="1:6" x14ac:dyDescent="0.3">
      <c r="A1747" s="4"/>
      <c r="B1747" s="1"/>
      <c r="C1747" s="2"/>
      <c r="D1747" s="2"/>
      <c r="E1747" s="5">
        <f t="shared" si="58"/>
        <v>0</v>
      </c>
      <c r="F1747" s="6">
        <f t="shared" si="59"/>
        <v>0</v>
      </c>
    </row>
    <row r="1748" spans="1:6" x14ac:dyDescent="0.3">
      <c r="A1748" s="4"/>
      <c r="B1748" s="1"/>
      <c r="C1748" s="2"/>
      <c r="D1748" s="2"/>
      <c r="E1748" s="5">
        <f t="shared" si="58"/>
        <v>0</v>
      </c>
      <c r="F1748" s="6">
        <f t="shared" si="59"/>
        <v>0</v>
      </c>
    </row>
    <row r="1749" spans="1:6" x14ac:dyDescent="0.3">
      <c r="A1749" s="4"/>
      <c r="B1749" s="1"/>
      <c r="C1749" s="2"/>
      <c r="D1749" s="2"/>
      <c r="E1749" s="5">
        <f t="shared" si="58"/>
        <v>0</v>
      </c>
      <c r="F1749" s="6">
        <f t="shared" si="59"/>
        <v>0</v>
      </c>
    </row>
    <row r="1750" spans="1:6" x14ac:dyDescent="0.3">
      <c r="A1750" s="4"/>
      <c r="B1750" s="1"/>
      <c r="C1750" s="2"/>
      <c r="D1750" s="2"/>
      <c r="E1750" s="5">
        <f t="shared" si="58"/>
        <v>0</v>
      </c>
      <c r="F1750" s="6">
        <f t="shared" si="59"/>
        <v>0</v>
      </c>
    </row>
    <row r="1751" spans="1:6" x14ac:dyDescent="0.3">
      <c r="A1751" s="4"/>
      <c r="B1751" s="1"/>
      <c r="C1751" s="2"/>
      <c r="D1751" s="2"/>
      <c r="E1751" s="5">
        <f t="shared" si="58"/>
        <v>0</v>
      </c>
      <c r="F1751" s="6">
        <f t="shared" si="59"/>
        <v>0</v>
      </c>
    </row>
    <row r="1752" spans="1:6" x14ac:dyDescent="0.3">
      <c r="A1752" s="4"/>
      <c r="B1752" s="1"/>
      <c r="C1752" s="2"/>
      <c r="D1752" s="2"/>
      <c r="E1752" s="5">
        <f t="shared" si="58"/>
        <v>0</v>
      </c>
      <c r="F1752" s="6">
        <f t="shared" si="59"/>
        <v>0</v>
      </c>
    </row>
    <row r="1753" spans="1:6" x14ac:dyDescent="0.3">
      <c r="A1753" s="4"/>
      <c r="B1753" s="1"/>
      <c r="C1753" s="2"/>
      <c r="D1753" s="2"/>
      <c r="E1753" s="5">
        <f t="shared" si="58"/>
        <v>0</v>
      </c>
      <c r="F1753" s="6">
        <f t="shared" si="59"/>
        <v>0</v>
      </c>
    </row>
    <row r="1754" spans="1:6" x14ac:dyDescent="0.3">
      <c r="A1754" s="4"/>
      <c r="B1754" s="1"/>
      <c r="C1754" s="2"/>
      <c r="D1754" s="2"/>
      <c r="E1754" s="5">
        <f t="shared" si="58"/>
        <v>0</v>
      </c>
      <c r="F1754" s="6">
        <f t="shared" si="59"/>
        <v>0</v>
      </c>
    </row>
    <row r="1755" spans="1:6" x14ac:dyDescent="0.3">
      <c r="A1755" s="4"/>
      <c r="B1755" s="1"/>
      <c r="C1755" s="2"/>
      <c r="D1755" s="2"/>
      <c r="E1755" s="5">
        <f t="shared" si="58"/>
        <v>0</v>
      </c>
      <c r="F1755" s="6">
        <f t="shared" si="59"/>
        <v>0</v>
      </c>
    </row>
    <row r="1756" spans="1:6" x14ac:dyDescent="0.3">
      <c r="A1756" s="4"/>
      <c r="B1756" s="1"/>
      <c r="C1756" s="2"/>
      <c r="D1756" s="2"/>
      <c r="E1756" s="5">
        <f t="shared" si="58"/>
        <v>0</v>
      </c>
      <c r="F1756" s="6">
        <f t="shared" si="59"/>
        <v>0</v>
      </c>
    </row>
    <row r="1757" spans="1:6" x14ac:dyDescent="0.3">
      <c r="A1757" s="4"/>
      <c r="B1757" s="1"/>
      <c r="C1757" s="2"/>
      <c r="D1757" s="2"/>
      <c r="E1757" s="5">
        <f t="shared" si="58"/>
        <v>0</v>
      </c>
      <c r="F1757" s="6">
        <f t="shared" si="59"/>
        <v>0</v>
      </c>
    </row>
    <row r="1758" spans="1:6" x14ac:dyDescent="0.3">
      <c r="A1758" s="4"/>
      <c r="B1758" s="1"/>
      <c r="C1758" s="2"/>
      <c r="D1758" s="2"/>
      <c r="E1758" s="5">
        <f t="shared" si="58"/>
        <v>0</v>
      </c>
      <c r="F1758" s="6">
        <f t="shared" si="59"/>
        <v>0</v>
      </c>
    </row>
    <row r="1759" spans="1:6" x14ac:dyDescent="0.3">
      <c r="A1759" s="4"/>
      <c r="B1759" s="1"/>
      <c r="C1759" s="2"/>
      <c r="D1759" s="2"/>
      <c r="E1759" s="5">
        <f t="shared" si="58"/>
        <v>0</v>
      </c>
      <c r="F1759" s="6">
        <f t="shared" si="59"/>
        <v>0</v>
      </c>
    </row>
    <row r="1760" spans="1:6" x14ac:dyDescent="0.3">
      <c r="A1760" s="4"/>
      <c r="B1760" s="1"/>
      <c r="C1760" s="2"/>
      <c r="D1760" s="2"/>
      <c r="E1760" s="5">
        <f t="shared" si="58"/>
        <v>0</v>
      </c>
      <c r="F1760" s="6">
        <f t="shared" si="59"/>
        <v>0</v>
      </c>
    </row>
    <row r="1761" spans="1:6" x14ac:dyDescent="0.3">
      <c r="A1761" s="4"/>
      <c r="B1761" s="1"/>
      <c r="C1761" s="2"/>
      <c r="D1761" s="2"/>
      <c r="E1761" s="5">
        <f t="shared" si="58"/>
        <v>0</v>
      </c>
      <c r="F1761" s="6">
        <f t="shared" si="59"/>
        <v>0</v>
      </c>
    </row>
    <row r="1762" spans="1:6" x14ac:dyDescent="0.3">
      <c r="A1762" s="4"/>
      <c r="B1762" s="1"/>
      <c r="C1762" s="2"/>
      <c r="D1762" s="2"/>
      <c r="E1762" s="5">
        <f t="shared" si="58"/>
        <v>0</v>
      </c>
      <c r="F1762" s="6">
        <f t="shared" si="59"/>
        <v>0</v>
      </c>
    </row>
    <row r="1763" spans="1:6" x14ac:dyDescent="0.3">
      <c r="A1763" s="4"/>
      <c r="B1763" s="1"/>
      <c r="C1763" s="2"/>
      <c r="D1763" s="2"/>
      <c r="E1763" s="5">
        <f t="shared" si="58"/>
        <v>0</v>
      </c>
      <c r="F1763" s="6">
        <f t="shared" si="59"/>
        <v>0</v>
      </c>
    </row>
    <row r="1764" spans="1:6" x14ac:dyDescent="0.3">
      <c r="A1764" s="4"/>
      <c r="B1764" s="1"/>
      <c r="C1764" s="2"/>
      <c r="D1764" s="2"/>
      <c r="E1764" s="5">
        <f t="shared" si="58"/>
        <v>0</v>
      </c>
      <c r="F1764" s="6">
        <f t="shared" si="59"/>
        <v>0</v>
      </c>
    </row>
    <row r="1765" spans="1:6" x14ac:dyDescent="0.3">
      <c r="A1765" s="4"/>
      <c r="B1765" s="1"/>
      <c r="C1765" s="2"/>
      <c r="D1765" s="2"/>
      <c r="E1765" s="5">
        <f t="shared" si="58"/>
        <v>0</v>
      </c>
      <c r="F1765" s="6">
        <f t="shared" si="59"/>
        <v>0</v>
      </c>
    </row>
    <row r="1766" spans="1:6" x14ac:dyDescent="0.3">
      <c r="A1766" s="4"/>
      <c r="B1766" s="1"/>
      <c r="C1766" s="2"/>
      <c r="D1766" s="2"/>
      <c r="E1766" s="5">
        <f t="shared" si="58"/>
        <v>0</v>
      </c>
      <c r="F1766" s="6">
        <f t="shared" si="59"/>
        <v>0</v>
      </c>
    </row>
    <row r="1767" spans="1:6" x14ac:dyDescent="0.3">
      <c r="A1767" s="4"/>
      <c r="B1767" s="1"/>
      <c r="C1767" s="2"/>
      <c r="D1767" s="2"/>
      <c r="E1767" s="5">
        <f t="shared" si="58"/>
        <v>0</v>
      </c>
      <c r="F1767" s="6">
        <f t="shared" si="59"/>
        <v>0</v>
      </c>
    </row>
    <row r="1768" spans="1:6" x14ac:dyDescent="0.3">
      <c r="A1768" s="4"/>
      <c r="B1768" s="1"/>
      <c r="C1768" s="2"/>
      <c r="D1768" s="2"/>
      <c r="E1768" s="5">
        <f t="shared" si="58"/>
        <v>0</v>
      </c>
      <c r="F1768" s="6">
        <f t="shared" si="59"/>
        <v>0</v>
      </c>
    </row>
    <row r="1769" spans="1:6" x14ac:dyDescent="0.3">
      <c r="A1769" s="4"/>
      <c r="B1769" s="1"/>
      <c r="C1769" s="2"/>
      <c r="D1769" s="2"/>
      <c r="E1769" s="5">
        <f t="shared" si="58"/>
        <v>0</v>
      </c>
      <c r="F1769" s="6">
        <f t="shared" si="59"/>
        <v>0</v>
      </c>
    </row>
    <row r="1770" spans="1:6" x14ac:dyDescent="0.3">
      <c r="A1770" s="4"/>
      <c r="B1770" s="1"/>
      <c r="C1770" s="2"/>
      <c r="D1770" s="2"/>
      <c r="E1770" s="5">
        <f t="shared" si="58"/>
        <v>0</v>
      </c>
      <c r="F1770" s="6">
        <f t="shared" si="59"/>
        <v>0</v>
      </c>
    </row>
    <row r="1771" spans="1:6" x14ac:dyDescent="0.3">
      <c r="A1771" s="4"/>
      <c r="B1771" s="1"/>
      <c r="C1771" s="2"/>
      <c r="D1771" s="2"/>
      <c r="E1771" s="5">
        <f t="shared" si="58"/>
        <v>0</v>
      </c>
      <c r="F1771" s="6">
        <f t="shared" si="59"/>
        <v>0</v>
      </c>
    </row>
    <row r="1772" spans="1:6" x14ac:dyDescent="0.3">
      <c r="A1772" s="4"/>
      <c r="B1772" s="1"/>
      <c r="C1772" s="2"/>
      <c r="D1772" s="2"/>
      <c r="E1772" s="5">
        <f t="shared" si="58"/>
        <v>0</v>
      </c>
      <c r="F1772" s="6">
        <f t="shared" si="59"/>
        <v>0</v>
      </c>
    </row>
    <row r="1773" spans="1:6" x14ac:dyDescent="0.3">
      <c r="A1773" s="4"/>
      <c r="B1773" s="1"/>
      <c r="C1773" s="2"/>
      <c r="D1773" s="2"/>
      <c r="E1773" s="5">
        <f t="shared" si="58"/>
        <v>0</v>
      </c>
      <c r="F1773" s="6">
        <f t="shared" si="59"/>
        <v>0</v>
      </c>
    </row>
    <row r="1774" spans="1:6" x14ac:dyDescent="0.3">
      <c r="A1774" s="4"/>
      <c r="B1774" s="1"/>
      <c r="C1774" s="2"/>
      <c r="D1774" s="2"/>
      <c r="E1774" s="5">
        <f t="shared" si="58"/>
        <v>0</v>
      </c>
      <c r="F1774" s="6">
        <f t="shared" si="59"/>
        <v>0</v>
      </c>
    </row>
    <row r="1775" spans="1:6" x14ac:dyDescent="0.3">
      <c r="A1775" s="4"/>
      <c r="B1775" s="1"/>
      <c r="C1775" s="2"/>
      <c r="D1775" s="2"/>
      <c r="E1775" s="5">
        <f t="shared" si="58"/>
        <v>0</v>
      </c>
      <c r="F1775" s="6">
        <f t="shared" si="59"/>
        <v>0</v>
      </c>
    </row>
    <row r="1776" spans="1:6" x14ac:dyDescent="0.3">
      <c r="A1776" s="4"/>
      <c r="B1776" s="1"/>
      <c r="C1776" s="2"/>
      <c r="D1776" s="2"/>
      <c r="E1776" s="5">
        <f t="shared" si="58"/>
        <v>0</v>
      </c>
      <c r="F1776" s="6">
        <f t="shared" si="59"/>
        <v>0</v>
      </c>
    </row>
    <row r="1777" spans="1:6" x14ac:dyDescent="0.3">
      <c r="A1777" s="4"/>
      <c r="B1777" s="1"/>
      <c r="C1777" s="2"/>
      <c r="D1777" s="2"/>
      <c r="E1777" s="5">
        <f t="shared" si="58"/>
        <v>0</v>
      </c>
      <c r="F1777" s="6">
        <f t="shared" si="59"/>
        <v>0</v>
      </c>
    </row>
    <row r="1778" spans="1:6" x14ac:dyDescent="0.3">
      <c r="A1778" s="4"/>
      <c r="B1778" s="1"/>
      <c r="C1778" s="2"/>
      <c r="D1778" s="2"/>
      <c r="E1778" s="5">
        <f t="shared" si="58"/>
        <v>0</v>
      </c>
      <c r="F1778" s="6">
        <f t="shared" si="59"/>
        <v>0</v>
      </c>
    </row>
    <row r="1779" spans="1:6" x14ac:dyDescent="0.3">
      <c r="A1779" s="4"/>
      <c r="B1779" s="1"/>
      <c r="C1779" s="2"/>
      <c r="D1779" s="2"/>
      <c r="E1779" s="5">
        <f t="shared" si="58"/>
        <v>0</v>
      </c>
      <c r="F1779" s="6">
        <f t="shared" si="59"/>
        <v>0</v>
      </c>
    </row>
    <row r="1780" spans="1:6" x14ac:dyDescent="0.3">
      <c r="A1780" s="4"/>
      <c r="B1780" s="1"/>
      <c r="C1780" s="2"/>
      <c r="D1780" s="2"/>
      <c r="E1780" s="5">
        <f t="shared" si="58"/>
        <v>0</v>
      </c>
      <c r="F1780" s="6">
        <f t="shared" si="59"/>
        <v>0</v>
      </c>
    </row>
    <row r="1781" spans="1:6" x14ac:dyDescent="0.3">
      <c r="A1781" s="4"/>
      <c r="B1781" s="1"/>
      <c r="C1781" s="2"/>
      <c r="D1781" s="2"/>
      <c r="E1781" s="5">
        <f t="shared" si="58"/>
        <v>0</v>
      </c>
      <c r="F1781" s="6">
        <f t="shared" si="59"/>
        <v>0</v>
      </c>
    </row>
    <row r="1782" spans="1:6" x14ac:dyDescent="0.3">
      <c r="A1782" s="4"/>
      <c r="B1782" s="1"/>
      <c r="C1782" s="2"/>
      <c r="D1782" s="2"/>
      <c r="E1782" s="5">
        <f t="shared" si="58"/>
        <v>0</v>
      </c>
      <c r="F1782" s="6">
        <f t="shared" si="59"/>
        <v>0</v>
      </c>
    </row>
    <row r="1783" spans="1:6" x14ac:dyDescent="0.3">
      <c r="A1783" s="4"/>
      <c r="B1783" s="1"/>
      <c r="C1783" s="2"/>
      <c r="D1783" s="2"/>
      <c r="E1783" s="5">
        <f t="shared" si="58"/>
        <v>0</v>
      </c>
      <c r="F1783" s="6">
        <f t="shared" si="59"/>
        <v>0</v>
      </c>
    </row>
    <row r="1784" spans="1:6" x14ac:dyDescent="0.3">
      <c r="A1784" s="4"/>
      <c r="B1784" s="1"/>
      <c r="C1784" s="2"/>
      <c r="D1784" s="2"/>
      <c r="E1784" s="5">
        <f t="shared" si="58"/>
        <v>0</v>
      </c>
      <c r="F1784" s="6">
        <f t="shared" si="59"/>
        <v>0</v>
      </c>
    </row>
    <row r="1785" spans="1:6" x14ac:dyDescent="0.3">
      <c r="A1785" s="4"/>
      <c r="B1785" s="1"/>
      <c r="C1785" s="2"/>
      <c r="D1785" s="2"/>
      <c r="E1785" s="5">
        <f t="shared" si="58"/>
        <v>0</v>
      </c>
      <c r="F1785" s="6">
        <f t="shared" si="59"/>
        <v>0</v>
      </c>
    </row>
    <row r="1786" spans="1:6" x14ac:dyDescent="0.3">
      <c r="A1786" s="4"/>
      <c r="B1786" s="1"/>
      <c r="C1786" s="2"/>
      <c r="D1786" s="2"/>
      <c r="E1786" s="5">
        <f t="shared" si="58"/>
        <v>0</v>
      </c>
      <c r="F1786" s="6">
        <f t="shared" si="59"/>
        <v>0</v>
      </c>
    </row>
    <row r="1787" spans="1:6" x14ac:dyDescent="0.3">
      <c r="A1787" s="4"/>
      <c r="B1787" s="1"/>
      <c r="C1787" s="2"/>
      <c r="D1787" s="2"/>
      <c r="E1787" s="5">
        <f t="shared" si="58"/>
        <v>0</v>
      </c>
      <c r="F1787" s="6">
        <f t="shared" si="59"/>
        <v>0</v>
      </c>
    </row>
    <row r="1788" spans="1:6" x14ac:dyDescent="0.3">
      <c r="A1788" s="4"/>
      <c r="B1788" s="1"/>
      <c r="C1788" s="2"/>
      <c r="D1788" s="2"/>
      <c r="E1788" s="5">
        <f t="shared" si="58"/>
        <v>0</v>
      </c>
      <c r="F1788" s="6">
        <f t="shared" si="59"/>
        <v>0</v>
      </c>
    </row>
    <row r="1789" spans="1:6" x14ac:dyDescent="0.3">
      <c r="A1789" s="4"/>
      <c r="B1789" s="1"/>
      <c r="C1789" s="2"/>
      <c r="D1789" s="2"/>
      <c r="E1789" s="5">
        <f t="shared" si="58"/>
        <v>0</v>
      </c>
      <c r="F1789" s="6">
        <f t="shared" si="59"/>
        <v>0</v>
      </c>
    </row>
    <row r="1790" spans="1:6" x14ac:dyDescent="0.3">
      <c r="A1790" s="4"/>
      <c r="B1790" s="1"/>
      <c r="C1790" s="2"/>
      <c r="D1790" s="2"/>
      <c r="E1790" s="5">
        <f t="shared" si="58"/>
        <v>0</v>
      </c>
      <c r="F1790" s="6">
        <f t="shared" si="59"/>
        <v>0</v>
      </c>
    </row>
    <row r="1791" spans="1:6" x14ac:dyDescent="0.3">
      <c r="A1791" s="4"/>
      <c r="B1791" s="1"/>
      <c r="C1791" s="2"/>
      <c r="D1791" s="2"/>
      <c r="E1791" s="5">
        <f t="shared" si="58"/>
        <v>0</v>
      </c>
      <c r="F1791" s="6">
        <f t="shared" si="59"/>
        <v>0</v>
      </c>
    </row>
    <row r="1792" spans="1:6" x14ac:dyDescent="0.3">
      <c r="A1792" s="4"/>
      <c r="B1792" s="1"/>
      <c r="C1792" s="2"/>
      <c r="D1792" s="2"/>
      <c r="E1792" s="5">
        <f t="shared" si="58"/>
        <v>0</v>
      </c>
      <c r="F1792" s="6">
        <f t="shared" si="59"/>
        <v>0</v>
      </c>
    </row>
    <row r="1793" spans="1:6" x14ac:dyDescent="0.3">
      <c r="A1793" s="4"/>
      <c r="B1793" s="1"/>
      <c r="C1793" s="2"/>
      <c r="D1793" s="2"/>
      <c r="E1793" s="5">
        <f t="shared" si="58"/>
        <v>0</v>
      </c>
      <c r="F1793" s="6">
        <f t="shared" si="59"/>
        <v>0</v>
      </c>
    </row>
    <row r="1794" spans="1:6" x14ac:dyDescent="0.3">
      <c r="A1794" s="4"/>
      <c r="B1794" s="1"/>
      <c r="C1794" s="2"/>
      <c r="D1794" s="2"/>
      <c r="E1794" s="5">
        <f t="shared" si="58"/>
        <v>0</v>
      </c>
      <c r="F1794" s="6">
        <f t="shared" si="59"/>
        <v>0</v>
      </c>
    </row>
    <row r="1795" spans="1:6" x14ac:dyDescent="0.3">
      <c r="A1795" s="4"/>
      <c r="B1795" s="1"/>
      <c r="C1795" s="2"/>
      <c r="D1795" s="2"/>
      <c r="E1795" s="5">
        <f t="shared" ref="E1795:E1858" si="60">D1795-C1795</f>
        <v>0</v>
      </c>
      <c r="F1795" s="6">
        <f t="shared" ref="F1795:F1858" si="61">ROUND(VALUE(E1795)*4,2)</f>
        <v>0</v>
      </c>
    </row>
    <row r="1796" spans="1:6" x14ac:dyDescent="0.3">
      <c r="A1796" s="4"/>
      <c r="B1796" s="1"/>
      <c r="C1796" s="2"/>
      <c r="D1796" s="2"/>
      <c r="E1796" s="5">
        <f t="shared" si="60"/>
        <v>0</v>
      </c>
      <c r="F1796" s="6">
        <f t="shared" si="61"/>
        <v>0</v>
      </c>
    </row>
    <row r="1797" spans="1:6" x14ac:dyDescent="0.3">
      <c r="A1797" s="4"/>
      <c r="B1797" s="1"/>
      <c r="C1797" s="2"/>
      <c r="D1797" s="2"/>
      <c r="E1797" s="5">
        <f t="shared" si="60"/>
        <v>0</v>
      </c>
      <c r="F1797" s="6">
        <f t="shared" si="61"/>
        <v>0</v>
      </c>
    </row>
    <row r="1798" spans="1:6" x14ac:dyDescent="0.3">
      <c r="A1798" s="4"/>
      <c r="B1798" s="1"/>
      <c r="C1798" s="2"/>
      <c r="D1798" s="2"/>
      <c r="E1798" s="5">
        <f t="shared" si="60"/>
        <v>0</v>
      </c>
      <c r="F1798" s="6">
        <f t="shared" si="61"/>
        <v>0</v>
      </c>
    </row>
    <row r="1799" spans="1:6" x14ac:dyDescent="0.3">
      <c r="A1799" s="4"/>
      <c r="B1799" s="1"/>
      <c r="C1799" s="2"/>
      <c r="D1799" s="2"/>
      <c r="E1799" s="5">
        <f t="shared" si="60"/>
        <v>0</v>
      </c>
      <c r="F1799" s="6">
        <f t="shared" si="61"/>
        <v>0</v>
      </c>
    </row>
    <row r="1800" spans="1:6" x14ac:dyDescent="0.3">
      <c r="A1800" s="4"/>
      <c r="B1800" s="1"/>
      <c r="C1800" s="2"/>
      <c r="D1800" s="2"/>
      <c r="E1800" s="5">
        <f t="shared" si="60"/>
        <v>0</v>
      </c>
      <c r="F1800" s="6">
        <f t="shared" si="61"/>
        <v>0</v>
      </c>
    </row>
    <row r="1801" spans="1:6" x14ac:dyDescent="0.3">
      <c r="A1801" s="4"/>
      <c r="B1801" s="1"/>
      <c r="C1801" s="2"/>
      <c r="D1801" s="2"/>
      <c r="E1801" s="5">
        <f t="shared" si="60"/>
        <v>0</v>
      </c>
      <c r="F1801" s="6">
        <f t="shared" si="61"/>
        <v>0</v>
      </c>
    </row>
    <row r="1802" spans="1:6" x14ac:dyDescent="0.3">
      <c r="A1802" s="4"/>
      <c r="B1802" s="1"/>
      <c r="C1802" s="2"/>
      <c r="D1802" s="2"/>
      <c r="E1802" s="5">
        <f t="shared" si="60"/>
        <v>0</v>
      </c>
      <c r="F1802" s="6">
        <f t="shared" si="61"/>
        <v>0</v>
      </c>
    </row>
    <row r="1803" spans="1:6" x14ac:dyDescent="0.3">
      <c r="A1803" s="4"/>
      <c r="B1803" s="1"/>
      <c r="C1803" s="2"/>
      <c r="D1803" s="2"/>
      <c r="E1803" s="5">
        <f t="shared" si="60"/>
        <v>0</v>
      </c>
      <c r="F1803" s="6">
        <f t="shared" si="61"/>
        <v>0</v>
      </c>
    </row>
    <row r="1804" spans="1:6" x14ac:dyDescent="0.3">
      <c r="A1804" s="4"/>
      <c r="B1804" s="1"/>
      <c r="C1804" s="2"/>
      <c r="D1804" s="2"/>
      <c r="E1804" s="5">
        <f t="shared" si="60"/>
        <v>0</v>
      </c>
      <c r="F1804" s="6">
        <f t="shared" si="61"/>
        <v>0</v>
      </c>
    </row>
    <row r="1805" spans="1:6" x14ac:dyDescent="0.3">
      <c r="A1805" s="4"/>
      <c r="B1805" s="1"/>
      <c r="C1805" s="2"/>
      <c r="D1805" s="2"/>
      <c r="E1805" s="5">
        <f t="shared" si="60"/>
        <v>0</v>
      </c>
      <c r="F1805" s="6">
        <f t="shared" si="61"/>
        <v>0</v>
      </c>
    </row>
    <row r="1806" spans="1:6" x14ac:dyDescent="0.3">
      <c r="A1806" s="4"/>
      <c r="B1806" s="1"/>
      <c r="C1806" s="2"/>
      <c r="D1806" s="2"/>
      <c r="E1806" s="5">
        <f t="shared" si="60"/>
        <v>0</v>
      </c>
      <c r="F1806" s="6">
        <f t="shared" si="61"/>
        <v>0</v>
      </c>
    </row>
    <row r="1807" spans="1:6" x14ac:dyDescent="0.3">
      <c r="A1807" s="4"/>
      <c r="B1807" s="1"/>
      <c r="C1807" s="2"/>
      <c r="D1807" s="2"/>
      <c r="E1807" s="5">
        <f t="shared" si="60"/>
        <v>0</v>
      </c>
      <c r="F1807" s="6">
        <f t="shared" si="61"/>
        <v>0</v>
      </c>
    </row>
    <row r="1808" spans="1:6" x14ac:dyDescent="0.3">
      <c r="A1808" s="4"/>
      <c r="B1808" s="1"/>
      <c r="C1808" s="2"/>
      <c r="D1808" s="2"/>
      <c r="E1808" s="5">
        <f t="shared" si="60"/>
        <v>0</v>
      </c>
      <c r="F1808" s="6">
        <f t="shared" si="61"/>
        <v>0</v>
      </c>
    </row>
    <row r="1809" spans="1:6" x14ac:dyDescent="0.3">
      <c r="A1809" s="4"/>
      <c r="B1809" s="1"/>
      <c r="C1809" s="2"/>
      <c r="D1809" s="2"/>
      <c r="E1809" s="5">
        <f t="shared" si="60"/>
        <v>0</v>
      </c>
      <c r="F1809" s="6">
        <f t="shared" si="61"/>
        <v>0</v>
      </c>
    </row>
    <row r="1810" spans="1:6" x14ac:dyDescent="0.3">
      <c r="A1810" s="4"/>
      <c r="B1810" s="1"/>
      <c r="C1810" s="2"/>
      <c r="D1810" s="2"/>
      <c r="E1810" s="5">
        <f t="shared" si="60"/>
        <v>0</v>
      </c>
      <c r="F1810" s="6">
        <f t="shared" si="61"/>
        <v>0</v>
      </c>
    </row>
    <row r="1811" spans="1:6" x14ac:dyDescent="0.3">
      <c r="A1811" s="4"/>
      <c r="B1811" s="1"/>
      <c r="C1811" s="2"/>
      <c r="D1811" s="2"/>
      <c r="E1811" s="5">
        <f t="shared" si="60"/>
        <v>0</v>
      </c>
      <c r="F1811" s="6">
        <f t="shared" si="61"/>
        <v>0</v>
      </c>
    </row>
    <row r="1812" spans="1:6" x14ac:dyDescent="0.3">
      <c r="A1812" s="4"/>
      <c r="B1812" s="1"/>
      <c r="C1812" s="2"/>
      <c r="D1812" s="2"/>
      <c r="E1812" s="5">
        <f t="shared" si="60"/>
        <v>0</v>
      </c>
      <c r="F1812" s="6">
        <f t="shared" si="61"/>
        <v>0</v>
      </c>
    </row>
    <row r="1813" spans="1:6" x14ac:dyDescent="0.3">
      <c r="A1813" s="4"/>
      <c r="B1813" s="1"/>
      <c r="C1813" s="2"/>
      <c r="D1813" s="2"/>
      <c r="E1813" s="5">
        <f t="shared" si="60"/>
        <v>0</v>
      </c>
      <c r="F1813" s="6">
        <f t="shared" si="61"/>
        <v>0</v>
      </c>
    </row>
    <row r="1814" spans="1:6" x14ac:dyDescent="0.3">
      <c r="A1814" s="4"/>
      <c r="B1814" s="1"/>
      <c r="C1814" s="2"/>
      <c r="D1814" s="2"/>
      <c r="E1814" s="5">
        <f t="shared" si="60"/>
        <v>0</v>
      </c>
      <c r="F1814" s="6">
        <f t="shared" si="61"/>
        <v>0</v>
      </c>
    </row>
    <row r="1815" spans="1:6" x14ac:dyDescent="0.3">
      <c r="A1815" s="4"/>
      <c r="B1815" s="1"/>
      <c r="C1815" s="2"/>
      <c r="D1815" s="2"/>
      <c r="E1815" s="5">
        <f t="shared" si="60"/>
        <v>0</v>
      </c>
      <c r="F1815" s="6">
        <f t="shared" si="61"/>
        <v>0</v>
      </c>
    </row>
    <row r="1816" spans="1:6" x14ac:dyDescent="0.3">
      <c r="A1816" s="4"/>
      <c r="B1816" s="1"/>
      <c r="C1816" s="2"/>
      <c r="D1816" s="2"/>
      <c r="E1816" s="5">
        <f t="shared" si="60"/>
        <v>0</v>
      </c>
      <c r="F1816" s="6">
        <f t="shared" si="61"/>
        <v>0</v>
      </c>
    </row>
    <row r="1817" spans="1:6" x14ac:dyDescent="0.3">
      <c r="A1817" s="4"/>
      <c r="B1817" s="1"/>
      <c r="C1817" s="2"/>
      <c r="D1817" s="2"/>
      <c r="E1817" s="5">
        <f t="shared" si="60"/>
        <v>0</v>
      </c>
      <c r="F1817" s="6">
        <f t="shared" si="61"/>
        <v>0</v>
      </c>
    </row>
    <row r="1818" spans="1:6" x14ac:dyDescent="0.3">
      <c r="A1818" s="4"/>
      <c r="B1818" s="1"/>
      <c r="C1818" s="2"/>
      <c r="D1818" s="2"/>
      <c r="E1818" s="5">
        <f t="shared" si="60"/>
        <v>0</v>
      </c>
      <c r="F1818" s="6">
        <f t="shared" si="61"/>
        <v>0</v>
      </c>
    </row>
    <row r="1819" spans="1:6" x14ac:dyDescent="0.3">
      <c r="A1819" s="4"/>
      <c r="B1819" s="1"/>
      <c r="C1819" s="2"/>
      <c r="D1819" s="2"/>
      <c r="E1819" s="5">
        <f t="shared" si="60"/>
        <v>0</v>
      </c>
      <c r="F1819" s="6">
        <f t="shared" si="61"/>
        <v>0</v>
      </c>
    </row>
    <row r="1820" spans="1:6" x14ac:dyDescent="0.3">
      <c r="A1820" s="4"/>
      <c r="B1820" s="1"/>
      <c r="C1820" s="2"/>
      <c r="D1820" s="2"/>
      <c r="E1820" s="5">
        <f t="shared" si="60"/>
        <v>0</v>
      </c>
      <c r="F1820" s="6">
        <f t="shared" si="61"/>
        <v>0</v>
      </c>
    </row>
    <row r="1821" spans="1:6" x14ac:dyDescent="0.3">
      <c r="A1821" s="4"/>
      <c r="B1821" s="1"/>
      <c r="C1821" s="2"/>
      <c r="D1821" s="2"/>
      <c r="E1821" s="5">
        <f t="shared" si="60"/>
        <v>0</v>
      </c>
      <c r="F1821" s="6">
        <f t="shared" si="61"/>
        <v>0</v>
      </c>
    </row>
    <row r="1822" spans="1:6" x14ac:dyDescent="0.3">
      <c r="A1822" s="4"/>
      <c r="B1822" s="1"/>
      <c r="C1822" s="2"/>
      <c r="D1822" s="2"/>
      <c r="E1822" s="5">
        <f t="shared" si="60"/>
        <v>0</v>
      </c>
      <c r="F1822" s="6">
        <f t="shared" si="61"/>
        <v>0</v>
      </c>
    </row>
    <row r="1823" spans="1:6" x14ac:dyDescent="0.3">
      <c r="A1823" s="4"/>
      <c r="B1823" s="1"/>
      <c r="C1823" s="2"/>
      <c r="D1823" s="2"/>
      <c r="E1823" s="5">
        <f t="shared" si="60"/>
        <v>0</v>
      </c>
      <c r="F1823" s="6">
        <f t="shared" si="61"/>
        <v>0</v>
      </c>
    </row>
    <row r="1824" spans="1:6" x14ac:dyDescent="0.3">
      <c r="A1824" s="4"/>
      <c r="B1824" s="1"/>
      <c r="C1824" s="2"/>
      <c r="D1824" s="2"/>
      <c r="E1824" s="5">
        <f t="shared" si="60"/>
        <v>0</v>
      </c>
      <c r="F1824" s="6">
        <f t="shared" si="61"/>
        <v>0</v>
      </c>
    </row>
    <row r="1825" spans="1:6" x14ac:dyDescent="0.3">
      <c r="A1825" s="4"/>
      <c r="B1825" s="1"/>
      <c r="C1825" s="2"/>
      <c r="D1825" s="2"/>
      <c r="E1825" s="5">
        <f t="shared" si="60"/>
        <v>0</v>
      </c>
      <c r="F1825" s="6">
        <f t="shared" si="61"/>
        <v>0</v>
      </c>
    </row>
    <row r="1826" spans="1:6" x14ac:dyDescent="0.3">
      <c r="A1826" s="4"/>
      <c r="B1826" s="1"/>
      <c r="C1826" s="2"/>
      <c r="D1826" s="2"/>
      <c r="E1826" s="5">
        <f t="shared" si="60"/>
        <v>0</v>
      </c>
      <c r="F1826" s="6">
        <f t="shared" si="61"/>
        <v>0</v>
      </c>
    </row>
    <row r="1827" spans="1:6" x14ac:dyDescent="0.3">
      <c r="A1827" s="4"/>
      <c r="B1827" s="1"/>
      <c r="C1827" s="2"/>
      <c r="D1827" s="2"/>
      <c r="E1827" s="5">
        <f t="shared" si="60"/>
        <v>0</v>
      </c>
      <c r="F1827" s="6">
        <f t="shared" si="61"/>
        <v>0</v>
      </c>
    </row>
    <row r="1828" spans="1:6" x14ac:dyDescent="0.3">
      <c r="A1828" s="4"/>
      <c r="B1828" s="1"/>
      <c r="C1828" s="2"/>
      <c r="D1828" s="2"/>
      <c r="E1828" s="5">
        <f t="shared" si="60"/>
        <v>0</v>
      </c>
      <c r="F1828" s="6">
        <f t="shared" si="61"/>
        <v>0</v>
      </c>
    </row>
    <row r="1829" spans="1:6" x14ac:dyDescent="0.3">
      <c r="A1829" s="4"/>
      <c r="B1829" s="1"/>
      <c r="C1829" s="2"/>
      <c r="D1829" s="2"/>
      <c r="E1829" s="5">
        <f t="shared" si="60"/>
        <v>0</v>
      </c>
      <c r="F1829" s="6">
        <f t="shared" si="61"/>
        <v>0</v>
      </c>
    </row>
    <row r="1830" spans="1:6" x14ac:dyDescent="0.3">
      <c r="A1830" s="4"/>
      <c r="B1830" s="1"/>
      <c r="C1830" s="2"/>
      <c r="D1830" s="2"/>
      <c r="E1830" s="5">
        <f t="shared" si="60"/>
        <v>0</v>
      </c>
      <c r="F1830" s="6">
        <f t="shared" si="61"/>
        <v>0</v>
      </c>
    </row>
    <row r="1831" spans="1:6" x14ac:dyDescent="0.3">
      <c r="A1831" s="4"/>
      <c r="B1831" s="1"/>
      <c r="C1831" s="2"/>
      <c r="D1831" s="2"/>
      <c r="E1831" s="5">
        <f t="shared" si="60"/>
        <v>0</v>
      </c>
      <c r="F1831" s="6">
        <f t="shared" si="61"/>
        <v>0</v>
      </c>
    </row>
    <row r="1832" spans="1:6" x14ac:dyDescent="0.3">
      <c r="A1832" s="4"/>
      <c r="B1832" s="1"/>
      <c r="C1832" s="2"/>
      <c r="D1832" s="2"/>
      <c r="E1832" s="5">
        <f t="shared" si="60"/>
        <v>0</v>
      </c>
      <c r="F1832" s="6">
        <f t="shared" si="61"/>
        <v>0</v>
      </c>
    </row>
    <row r="1833" spans="1:6" x14ac:dyDescent="0.3">
      <c r="A1833" s="4"/>
      <c r="B1833" s="1"/>
      <c r="C1833" s="2"/>
      <c r="D1833" s="2"/>
      <c r="E1833" s="5">
        <f t="shared" si="60"/>
        <v>0</v>
      </c>
      <c r="F1833" s="6">
        <f t="shared" si="61"/>
        <v>0</v>
      </c>
    </row>
    <row r="1834" spans="1:6" x14ac:dyDescent="0.3">
      <c r="A1834" s="4"/>
      <c r="B1834" s="1"/>
      <c r="C1834" s="2"/>
      <c r="D1834" s="2"/>
      <c r="E1834" s="5">
        <f t="shared" si="60"/>
        <v>0</v>
      </c>
      <c r="F1834" s="6">
        <f t="shared" si="61"/>
        <v>0</v>
      </c>
    </row>
    <row r="1835" spans="1:6" x14ac:dyDescent="0.3">
      <c r="A1835" s="4"/>
      <c r="B1835" s="1"/>
      <c r="C1835" s="2"/>
      <c r="D1835" s="2"/>
      <c r="E1835" s="5">
        <f t="shared" si="60"/>
        <v>0</v>
      </c>
      <c r="F1835" s="6">
        <f t="shared" si="61"/>
        <v>0</v>
      </c>
    </row>
    <row r="1836" spans="1:6" x14ac:dyDescent="0.3">
      <c r="A1836" s="4"/>
      <c r="B1836" s="1"/>
      <c r="C1836" s="2"/>
      <c r="D1836" s="2"/>
      <c r="E1836" s="5">
        <f t="shared" si="60"/>
        <v>0</v>
      </c>
      <c r="F1836" s="6">
        <f t="shared" si="61"/>
        <v>0</v>
      </c>
    </row>
    <row r="1837" spans="1:6" x14ac:dyDescent="0.3">
      <c r="A1837" s="4"/>
      <c r="B1837" s="1"/>
      <c r="C1837" s="2"/>
      <c r="D1837" s="2"/>
      <c r="E1837" s="5">
        <f t="shared" si="60"/>
        <v>0</v>
      </c>
      <c r="F1837" s="6">
        <f t="shared" si="61"/>
        <v>0</v>
      </c>
    </row>
    <row r="1838" spans="1:6" x14ac:dyDescent="0.3">
      <c r="A1838" s="4"/>
      <c r="B1838" s="1"/>
      <c r="C1838" s="2"/>
      <c r="D1838" s="2"/>
      <c r="E1838" s="5">
        <f t="shared" si="60"/>
        <v>0</v>
      </c>
      <c r="F1838" s="6">
        <f t="shared" si="61"/>
        <v>0</v>
      </c>
    </row>
    <row r="1839" spans="1:6" x14ac:dyDescent="0.3">
      <c r="A1839" s="4"/>
      <c r="B1839" s="1"/>
      <c r="C1839" s="2"/>
      <c r="D1839" s="2"/>
      <c r="E1839" s="5">
        <f t="shared" si="60"/>
        <v>0</v>
      </c>
      <c r="F1839" s="6">
        <f t="shared" si="61"/>
        <v>0</v>
      </c>
    </row>
    <row r="1840" spans="1:6" x14ac:dyDescent="0.3">
      <c r="A1840" s="4"/>
      <c r="B1840" s="1"/>
      <c r="C1840" s="2"/>
      <c r="D1840" s="2"/>
      <c r="E1840" s="5">
        <f t="shared" si="60"/>
        <v>0</v>
      </c>
      <c r="F1840" s="6">
        <f t="shared" si="61"/>
        <v>0</v>
      </c>
    </row>
    <row r="1841" spans="1:6" x14ac:dyDescent="0.3">
      <c r="A1841" s="4"/>
      <c r="B1841" s="1"/>
      <c r="C1841" s="2"/>
      <c r="D1841" s="2"/>
      <c r="E1841" s="5">
        <f t="shared" si="60"/>
        <v>0</v>
      </c>
      <c r="F1841" s="6">
        <f t="shared" si="61"/>
        <v>0</v>
      </c>
    </row>
    <row r="1842" spans="1:6" x14ac:dyDescent="0.3">
      <c r="A1842" s="4"/>
      <c r="B1842" s="1"/>
      <c r="C1842" s="2"/>
      <c r="D1842" s="2"/>
      <c r="E1842" s="5">
        <f t="shared" si="60"/>
        <v>0</v>
      </c>
      <c r="F1842" s="6">
        <f t="shared" si="61"/>
        <v>0</v>
      </c>
    </row>
    <row r="1843" spans="1:6" x14ac:dyDescent="0.3">
      <c r="A1843" s="4"/>
      <c r="B1843" s="1"/>
      <c r="C1843" s="2"/>
      <c r="D1843" s="2"/>
      <c r="E1843" s="5">
        <f t="shared" si="60"/>
        <v>0</v>
      </c>
      <c r="F1843" s="6">
        <f t="shared" si="61"/>
        <v>0</v>
      </c>
    </row>
    <row r="1844" spans="1:6" x14ac:dyDescent="0.3">
      <c r="A1844" s="4"/>
      <c r="B1844" s="1"/>
      <c r="C1844" s="2"/>
      <c r="D1844" s="2"/>
      <c r="E1844" s="5">
        <f t="shared" si="60"/>
        <v>0</v>
      </c>
      <c r="F1844" s="6">
        <f t="shared" si="61"/>
        <v>0</v>
      </c>
    </row>
    <row r="1845" spans="1:6" x14ac:dyDescent="0.3">
      <c r="A1845" s="4"/>
      <c r="B1845" s="1"/>
      <c r="C1845" s="2"/>
      <c r="D1845" s="2"/>
      <c r="E1845" s="5">
        <f t="shared" si="60"/>
        <v>0</v>
      </c>
      <c r="F1845" s="6">
        <f t="shared" si="61"/>
        <v>0</v>
      </c>
    </row>
    <row r="1846" spans="1:6" x14ac:dyDescent="0.3">
      <c r="A1846" s="4"/>
      <c r="B1846" s="1"/>
      <c r="C1846" s="2"/>
      <c r="D1846" s="2"/>
      <c r="E1846" s="5">
        <f t="shared" si="60"/>
        <v>0</v>
      </c>
      <c r="F1846" s="6">
        <f t="shared" si="61"/>
        <v>0</v>
      </c>
    </row>
    <row r="1847" spans="1:6" x14ac:dyDescent="0.3">
      <c r="A1847" s="4"/>
      <c r="B1847" s="1"/>
      <c r="C1847" s="2"/>
      <c r="D1847" s="2"/>
      <c r="E1847" s="5">
        <f t="shared" si="60"/>
        <v>0</v>
      </c>
      <c r="F1847" s="6">
        <f t="shared" si="61"/>
        <v>0</v>
      </c>
    </row>
    <row r="1848" spans="1:6" x14ac:dyDescent="0.3">
      <c r="A1848" s="4"/>
      <c r="B1848" s="1"/>
      <c r="C1848" s="2"/>
      <c r="D1848" s="2"/>
      <c r="E1848" s="5">
        <f t="shared" si="60"/>
        <v>0</v>
      </c>
      <c r="F1848" s="6">
        <f t="shared" si="61"/>
        <v>0</v>
      </c>
    </row>
    <row r="1849" spans="1:6" x14ac:dyDescent="0.3">
      <c r="A1849" s="4"/>
      <c r="B1849" s="1"/>
      <c r="C1849" s="2"/>
      <c r="D1849" s="2"/>
      <c r="E1849" s="5">
        <f t="shared" si="60"/>
        <v>0</v>
      </c>
      <c r="F1849" s="6">
        <f t="shared" si="61"/>
        <v>0</v>
      </c>
    </row>
    <row r="1850" spans="1:6" x14ac:dyDescent="0.3">
      <c r="A1850" s="4"/>
      <c r="B1850" s="1"/>
      <c r="C1850" s="2"/>
      <c r="D1850" s="2"/>
      <c r="E1850" s="5">
        <f t="shared" si="60"/>
        <v>0</v>
      </c>
      <c r="F1850" s="6">
        <f t="shared" si="61"/>
        <v>0</v>
      </c>
    </row>
    <row r="1851" spans="1:6" x14ac:dyDescent="0.3">
      <c r="A1851" s="4"/>
      <c r="B1851" s="1"/>
      <c r="C1851" s="2"/>
      <c r="D1851" s="2"/>
      <c r="E1851" s="5">
        <f t="shared" si="60"/>
        <v>0</v>
      </c>
      <c r="F1851" s="6">
        <f t="shared" si="61"/>
        <v>0</v>
      </c>
    </row>
    <row r="1852" spans="1:6" x14ac:dyDescent="0.3">
      <c r="A1852" s="4"/>
      <c r="B1852" s="1"/>
      <c r="C1852" s="2"/>
      <c r="D1852" s="2"/>
      <c r="E1852" s="5">
        <f t="shared" si="60"/>
        <v>0</v>
      </c>
      <c r="F1852" s="6">
        <f t="shared" si="61"/>
        <v>0</v>
      </c>
    </row>
    <row r="1853" spans="1:6" x14ac:dyDescent="0.3">
      <c r="A1853" s="4"/>
      <c r="B1853" s="1"/>
      <c r="C1853" s="2"/>
      <c r="D1853" s="2"/>
      <c r="E1853" s="5">
        <f t="shared" si="60"/>
        <v>0</v>
      </c>
      <c r="F1853" s="6">
        <f t="shared" si="61"/>
        <v>0</v>
      </c>
    </row>
    <row r="1854" spans="1:6" x14ac:dyDescent="0.3">
      <c r="A1854" s="4"/>
      <c r="B1854" s="1"/>
      <c r="C1854" s="2"/>
      <c r="D1854" s="2"/>
      <c r="E1854" s="5">
        <f t="shared" si="60"/>
        <v>0</v>
      </c>
      <c r="F1854" s="6">
        <f t="shared" si="61"/>
        <v>0</v>
      </c>
    </row>
    <row r="1855" spans="1:6" x14ac:dyDescent="0.3">
      <c r="A1855" s="4"/>
      <c r="B1855" s="1"/>
      <c r="C1855" s="2"/>
      <c r="D1855" s="2"/>
      <c r="E1855" s="5">
        <f t="shared" si="60"/>
        <v>0</v>
      </c>
      <c r="F1855" s="6">
        <f t="shared" si="61"/>
        <v>0</v>
      </c>
    </row>
    <row r="1856" spans="1:6" x14ac:dyDescent="0.3">
      <c r="A1856" s="4"/>
      <c r="B1856" s="1"/>
      <c r="C1856" s="2"/>
      <c r="D1856" s="2"/>
      <c r="E1856" s="5">
        <f t="shared" si="60"/>
        <v>0</v>
      </c>
      <c r="F1856" s="6">
        <f t="shared" si="61"/>
        <v>0</v>
      </c>
    </row>
    <row r="1857" spans="1:6" x14ac:dyDescent="0.3">
      <c r="A1857" s="4"/>
      <c r="B1857" s="1"/>
      <c r="C1857" s="2"/>
      <c r="D1857" s="2"/>
      <c r="E1857" s="5">
        <f t="shared" si="60"/>
        <v>0</v>
      </c>
      <c r="F1857" s="6">
        <f t="shared" si="61"/>
        <v>0</v>
      </c>
    </row>
    <row r="1858" spans="1:6" x14ac:dyDescent="0.3">
      <c r="A1858" s="4"/>
      <c r="B1858" s="1"/>
      <c r="C1858" s="2"/>
      <c r="D1858" s="2"/>
      <c r="E1858" s="5">
        <f t="shared" si="60"/>
        <v>0</v>
      </c>
      <c r="F1858" s="6">
        <f t="shared" si="61"/>
        <v>0</v>
      </c>
    </row>
    <row r="1859" spans="1:6" x14ac:dyDescent="0.3">
      <c r="A1859" s="4"/>
      <c r="B1859" s="1"/>
      <c r="C1859" s="2"/>
      <c r="D1859" s="2"/>
      <c r="E1859" s="5">
        <f t="shared" ref="E1859:E1922" si="62">D1859-C1859</f>
        <v>0</v>
      </c>
      <c r="F1859" s="6">
        <f t="shared" ref="F1859:F1922" si="63">ROUND(VALUE(E1859)*4,2)</f>
        <v>0</v>
      </c>
    </row>
    <row r="1860" spans="1:6" x14ac:dyDescent="0.3">
      <c r="A1860" s="4"/>
      <c r="B1860" s="1"/>
      <c r="C1860" s="2"/>
      <c r="D1860" s="2"/>
      <c r="E1860" s="5">
        <f t="shared" si="62"/>
        <v>0</v>
      </c>
      <c r="F1860" s="6">
        <f t="shared" si="63"/>
        <v>0</v>
      </c>
    </row>
    <row r="1861" spans="1:6" x14ac:dyDescent="0.3">
      <c r="A1861" s="4"/>
      <c r="B1861" s="1"/>
      <c r="C1861" s="2"/>
      <c r="D1861" s="2"/>
      <c r="E1861" s="5">
        <f t="shared" si="62"/>
        <v>0</v>
      </c>
      <c r="F1861" s="6">
        <f t="shared" si="63"/>
        <v>0</v>
      </c>
    </row>
    <row r="1862" spans="1:6" x14ac:dyDescent="0.3">
      <c r="A1862" s="4"/>
      <c r="B1862" s="1"/>
      <c r="C1862" s="2"/>
      <c r="D1862" s="2"/>
      <c r="E1862" s="5">
        <f t="shared" si="62"/>
        <v>0</v>
      </c>
      <c r="F1862" s="6">
        <f t="shared" si="63"/>
        <v>0</v>
      </c>
    </row>
    <row r="1863" spans="1:6" x14ac:dyDescent="0.3">
      <c r="A1863" s="4"/>
      <c r="B1863" s="1"/>
      <c r="C1863" s="2"/>
      <c r="D1863" s="2"/>
      <c r="E1863" s="5">
        <f t="shared" si="62"/>
        <v>0</v>
      </c>
      <c r="F1863" s="6">
        <f t="shared" si="63"/>
        <v>0</v>
      </c>
    </row>
    <row r="1864" spans="1:6" x14ac:dyDescent="0.3">
      <c r="A1864" s="4"/>
      <c r="B1864" s="1"/>
      <c r="C1864" s="2"/>
      <c r="D1864" s="2"/>
      <c r="E1864" s="5">
        <f t="shared" si="62"/>
        <v>0</v>
      </c>
      <c r="F1864" s="6">
        <f t="shared" si="63"/>
        <v>0</v>
      </c>
    </row>
    <row r="1865" spans="1:6" x14ac:dyDescent="0.3">
      <c r="A1865" s="4"/>
      <c r="B1865" s="1"/>
      <c r="C1865" s="2"/>
      <c r="D1865" s="2"/>
      <c r="E1865" s="5">
        <f t="shared" si="62"/>
        <v>0</v>
      </c>
      <c r="F1865" s="6">
        <f t="shared" si="63"/>
        <v>0</v>
      </c>
    </row>
    <row r="1866" spans="1:6" x14ac:dyDescent="0.3">
      <c r="A1866" s="4"/>
      <c r="B1866" s="1"/>
      <c r="C1866" s="2"/>
      <c r="D1866" s="2"/>
      <c r="E1866" s="5">
        <f t="shared" si="62"/>
        <v>0</v>
      </c>
      <c r="F1866" s="6">
        <f t="shared" si="63"/>
        <v>0</v>
      </c>
    </row>
    <row r="1867" spans="1:6" x14ac:dyDescent="0.3">
      <c r="A1867" s="4"/>
      <c r="B1867" s="1"/>
      <c r="C1867" s="2"/>
      <c r="D1867" s="2"/>
      <c r="E1867" s="5">
        <f t="shared" si="62"/>
        <v>0</v>
      </c>
      <c r="F1867" s="6">
        <f t="shared" si="63"/>
        <v>0</v>
      </c>
    </row>
    <row r="1868" spans="1:6" x14ac:dyDescent="0.3">
      <c r="A1868" s="4"/>
      <c r="B1868" s="1"/>
      <c r="C1868" s="2"/>
      <c r="D1868" s="2"/>
      <c r="E1868" s="5">
        <f t="shared" si="62"/>
        <v>0</v>
      </c>
      <c r="F1868" s="6">
        <f t="shared" si="63"/>
        <v>0</v>
      </c>
    </row>
    <row r="1869" spans="1:6" x14ac:dyDescent="0.3">
      <c r="A1869" s="4"/>
      <c r="B1869" s="1"/>
      <c r="C1869" s="2"/>
      <c r="D1869" s="2"/>
      <c r="E1869" s="5">
        <f t="shared" si="62"/>
        <v>0</v>
      </c>
      <c r="F1869" s="6">
        <f t="shared" si="63"/>
        <v>0</v>
      </c>
    </row>
    <row r="1870" spans="1:6" x14ac:dyDescent="0.3">
      <c r="A1870" s="4"/>
      <c r="B1870" s="1"/>
      <c r="C1870" s="2"/>
      <c r="D1870" s="2"/>
      <c r="E1870" s="5">
        <f t="shared" si="62"/>
        <v>0</v>
      </c>
      <c r="F1870" s="6">
        <f t="shared" si="63"/>
        <v>0</v>
      </c>
    </row>
    <row r="1871" spans="1:6" x14ac:dyDescent="0.3">
      <c r="A1871" s="4"/>
      <c r="B1871" s="1"/>
      <c r="C1871" s="2"/>
      <c r="D1871" s="2"/>
      <c r="E1871" s="5">
        <f t="shared" si="62"/>
        <v>0</v>
      </c>
      <c r="F1871" s="6">
        <f t="shared" si="63"/>
        <v>0</v>
      </c>
    </row>
    <row r="1872" spans="1:6" x14ac:dyDescent="0.3">
      <c r="A1872" s="4"/>
      <c r="B1872" s="1"/>
      <c r="C1872" s="2"/>
      <c r="D1872" s="2"/>
      <c r="E1872" s="5">
        <f t="shared" si="62"/>
        <v>0</v>
      </c>
      <c r="F1872" s="6">
        <f t="shared" si="63"/>
        <v>0</v>
      </c>
    </row>
    <row r="1873" spans="1:6" x14ac:dyDescent="0.3">
      <c r="A1873" s="4"/>
      <c r="B1873" s="1"/>
      <c r="C1873" s="2"/>
      <c r="D1873" s="2"/>
      <c r="E1873" s="5">
        <f t="shared" si="62"/>
        <v>0</v>
      </c>
      <c r="F1873" s="6">
        <f t="shared" si="63"/>
        <v>0</v>
      </c>
    </row>
    <row r="1874" spans="1:6" x14ac:dyDescent="0.3">
      <c r="A1874" s="4"/>
      <c r="B1874" s="1"/>
      <c r="C1874" s="2"/>
      <c r="D1874" s="2"/>
      <c r="E1874" s="5">
        <f t="shared" si="62"/>
        <v>0</v>
      </c>
      <c r="F1874" s="6">
        <f t="shared" si="63"/>
        <v>0</v>
      </c>
    </row>
    <row r="1875" spans="1:6" x14ac:dyDescent="0.3">
      <c r="A1875" s="4"/>
      <c r="B1875" s="1"/>
      <c r="C1875" s="2"/>
      <c r="D1875" s="2"/>
      <c r="E1875" s="5">
        <f t="shared" si="62"/>
        <v>0</v>
      </c>
      <c r="F1875" s="6">
        <f t="shared" si="63"/>
        <v>0</v>
      </c>
    </row>
    <row r="1876" spans="1:6" x14ac:dyDescent="0.3">
      <c r="A1876" s="4"/>
      <c r="B1876" s="1"/>
      <c r="C1876" s="2"/>
      <c r="D1876" s="2"/>
      <c r="E1876" s="5">
        <f t="shared" si="62"/>
        <v>0</v>
      </c>
      <c r="F1876" s="6">
        <f t="shared" si="63"/>
        <v>0</v>
      </c>
    </row>
    <row r="1877" spans="1:6" x14ac:dyDescent="0.3">
      <c r="A1877" s="4"/>
      <c r="B1877" s="1"/>
      <c r="C1877" s="2"/>
      <c r="D1877" s="2"/>
      <c r="E1877" s="5">
        <f t="shared" si="62"/>
        <v>0</v>
      </c>
      <c r="F1877" s="6">
        <f t="shared" si="63"/>
        <v>0</v>
      </c>
    </row>
    <row r="1878" spans="1:6" x14ac:dyDescent="0.3">
      <c r="A1878" s="4"/>
      <c r="B1878" s="1"/>
      <c r="C1878" s="2"/>
      <c r="D1878" s="2"/>
      <c r="E1878" s="5">
        <f t="shared" si="62"/>
        <v>0</v>
      </c>
      <c r="F1878" s="6">
        <f t="shared" si="63"/>
        <v>0</v>
      </c>
    </row>
    <row r="1879" spans="1:6" x14ac:dyDescent="0.3">
      <c r="A1879" s="4"/>
      <c r="B1879" s="1"/>
      <c r="C1879" s="2"/>
      <c r="D1879" s="2"/>
      <c r="E1879" s="5">
        <f t="shared" si="62"/>
        <v>0</v>
      </c>
      <c r="F1879" s="6">
        <f t="shared" si="63"/>
        <v>0</v>
      </c>
    </row>
    <row r="1880" spans="1:6" x14ac:dyDescent="0.3">
      <c r="A1880" s="4"/>
      <c r="B1880" s="1"/>
      <c r="C1880" s="2"/>
      <c r="D1880" s="2"/>
      <c r="E1880" s="5">
        <f t="shared" si="62"/>
        <v>0</v>
      </c>
      <c r="F1880" s="6">
        <f t="shared" si="63"/>
        <v>0</v>
      </c>
    </row>
    <row r="1881" spans="1:6" x14ac:dyDescent="0.3">
      <c r="A1881" s="4"/>
      <c r="B1881" s="1"/>
      <c r="C1881" s="2"/>
      <c r="D1881" s="2"/>
      <c r="E1881" s="5">
        <f t="shared" si="62"/>
        <v>0</v>
      </c>
      <c r="F1881" s="6">
        <f t="shared" si="63"/>
        <v>0</v>
      </c>
    </row>
    <row r="1882" spans="1:6" x14ac:dyDescent="0.3">
      <c r="A1882" s="4"/>
      <c r="B1882" s="1"/>
      <c r="C1882" s="2"/>
      <c r="D1882" s="2"/>
      <c r="E1882" s="5">
        <f t="shared" si="62"/>
        <v>0</v>
      </c>
      <c r="F1882" s="6">
        <f t="shared" si="63"/>
        <v>0</v>
      </c>
    </row>
    <row r="1883" spans="1:6" x14ac:dyDescent="0.3">
      <c r="A1883" s="4"/>
      <c r="B1883" s="1"/>
      <c r="C1883" s="2"/>
      <c r="D1883" s="2"/>
      <c r="E1883" s="5">
        <f t="shared" si="62"/>
        <v>0</v>
      </c>
      <c r="F1883" s="6">
        <f t="shared" si="63"/>
        <v>0</v>
      </c>
    </row>
    <row r="1884" spans="1:6" x14ac:dyDescent="0.3">
      <c r="A1884" s="4"/>
      <c r="B1884" s="1"/>
      <c r="C1884" s="2"/>
      <c r="D1884" s="2"/>
      <c r="E1884" s="5">
        <f t="shared" si="62"/>
        <v>0</v>
      </c>
      <c r="F1884" s="6">
        <f t="shared" si="63"/>
        <v>0</v>
      </c>
    </row>
    <row r="1885" spans="1:6" x14ac:dyDescent="0.3">
      <c r="A1885" s="4"/>
      <c r="B1885" s="1"/>
      <c r="C1885" s="2"/>
      <c r="D1885" s="2"/>
      <c r="E1885" s="5">
        <f t="shared" si="62"/>
        <v>0</v>
      </c>
      <c r="F1885" s="6">
        <f t="shared" si="63"/>
        <v>0</v>
      </c>
    </row>
    <row r="1886" spans="1:6" x14ac:dyDescent="0.3">
      <c r="A1886" s="4"/>
      <c r="B1886" s="1"/>
      <c r="C1886" s="2"/>
      <c r="D1886" s="2"/>
      <c r="E1886" s="5">
        <f t="shared" si="62"/>
        <v>0</v>
      </c>
      <c r="F1886" s="6">
        <f t="shared" si="63"/>
        <v>0</v>
      </c>
    </row>
    <row r="1887" spans="1:6" x14ac:dyDescent="0.3">
      <c r="A1887" s="4"/>
      <c r="B1887" s="1"/>
      <c r="C1887" s="2"/>
      <c r="D1887" s="2"/>
      <c r="E1887" s="5">
        <f t="shared" si="62"/>
        <v>0</v>
      </c>
      <c r="F1887" s="6">
        <f t="shared" si="63"/>
        <v>0</v>
      </c>
    </row>
    <row r="1888" spans="1:6" x14ac:dyDescent="0.3">
      <c r="A1888" s="4"/>
      <c r="B1888" s="1"/>
      <c r="C1888" s="2"/>
      <c r="D1888" s="2"/>
      <c r="E1888" s="5">
        <f t="shared" si="62"/>
        <v>0</v>
      </c>
      <c r="F1888" s="6">
        <f t="shared" si="63"/>
        <v>0</v>
      </c>
    </row>
    <row r="1889" spans="1:6" x14ac:dyDescent="0.3">
      <c r="A1889" s="4"/>
      <c r="B1889" s="1"/>
      <c r="C1889" s="2"/>
      <c r="D1889" s="2"/>
      <c r="E1889" s="5">
        <f t="shared" si="62"/>
        <v>0</v>
      </c>
      <c r="F1889" s="6">
        <f t="shared" si="63"/>
        <v>0</v>
      </c>
    </row>
    <row r="1890" spans="1:6" x14ac:dyDescent="0.3">
      <c r="A1890" s="4"/>
      <c r="B1890" s="1"/>
      <c r="C1890" s="2"/>
      <c r="D1890" s="2"/>
      <c r="E1890" s="5">
        <f t="shared" si="62"/>
        <v>0</v>
      </c>
      <c r="F1890" s="6">
        <f t="shared" si="63"/>
        <v>0</v>
      </c>
    </row>
    <row r="1891" spans="1:6" x14ac:dyDescent="0.3">
      <c r="A1891" s="4"/>
      <c r="B1891" s="1"/>
      <c r="C1891" s="2"/>
      <c r="D1891" s="2"/>
      <c r="E1891" s="5">
        <f t="shared" si="62"/>
        <v>0</v>
      </c>
      <c r="F1891" s="6">
        <f t="shared" si="63"/>
        <v>0</v>
      </c>
    </row>
    <row r="1892" spans="1:6" x14ac:dyDescent="0.3">
      <c r="A1892" s="4"/>
      <c r="B1892" s="1"/>
      <c r="C1892" s="2"/>
      <c r="D1892" s="2"/>
      <c r="E1892" s="5">
        <f t="shared" si="62"/>
        <v>0</v>
      </c>
      <c r="F1892" s="6">
        <f t="shared" si="63"/>
        <v>0</v>
      </c>
    </row>
    <row r="1893" spans="1:6" x14ac:dyDescent="0.3">
      <c r="A1893" s="4"/>
      <c r="B1893" s="1"/>
      <c r="C1893" s="2"/>
      <c r="D1893" s="2"/>
      <c r="E1893" s="5">
        <f t="shared" si="62"/>
        <v>0</v>
      </c>
      <c r="F1893" s="6">
        <f t="shared" si="63"/>
        <v>0</v>
      </c>
    </row>
    <row r="1894" spans="1:6" x14ac:dyDescent="0.3">
      <c r="A1894" s="4"/>
      <c r="B1894" s="1"/>
      <c r="C1894" s="2"/>
      <c r="D1894" s="2"/>
      <c r="E1894" s="5">
        <f t="shared" si="62"/>
        <v>0</v>
      </c>
      <c r="F1894" s="6">
        <f t="shared" si="63"/>
        <v>0</v>
      </c>
    </row>
    <row r="1895" spans="1:6" x14ac:dyDescent="0.3">
      <c r="A1895" s="4"/>
      <c r="B1895" s="1"/>
      <c r="C1895" s="2"/>
      <c r="D1895" s="2"/>
      <c r="E1895" s="5">
        <f t="shared" si="62"/>
        <v>0</v>
      </c>
      <c r="F1895" s="6">
        <f t="shared" si="63"/>
        <v>0</v>
      </c>
    </row>
    <row r="1896" spans="1:6" x14ac:dyDescent="0.3">
      <c r="A1896" s="4"/>
      <c r="B1896" s="1"/>
      <c r="C1896" s="2"/>
      <c r="D1896" s="2"/>
      <c r="E1896" s="5">
        <f t="shared" si="62"/>
        <v>0</v>
      </c>
      <c r="F1896" s="6">
        <f t="shared" si="63"/>
        <v>0</v>
      </c>
    </row>
    <row r="1897" spans="1:6" x14ac:dyDescent="0.3">
      <c r="A1897" s="4"/>
      <c r="B1897" s="1"/>
      <c r="C1897" s="2"/>
      <c r="D1897" s="2"/>
      <c r="E1897" s="5">
        <f t="shared" si="62"/>
        <v>0</v>
      </c>
      <c r="F1897" s="6">
        <f t="shared" si="63"/>
        <v>0</v>
      </c>
    </row>
    <row r="1898" spans="1:6" x14ac:dyDescent="0.3">
      <c r="A1898" s="4"/>
      <c r="B1898" s="1"/>
      <c r="C1898" s="2"/>
      <c r="D1898" s="2"/>
      <c r="E1898" s="5">
        <f t="shared" si="62"/>
        <v>0</v>
      </c>
      <c r="F1898" s="6">
        <f t="shared" si="63"/>
        <v>0</v>
      </c>
    </row>
    <row r="1899" spans="1:6" x14ac:dyDescent="0.3">
      <c r="A1899" s="4"/>
      <c r="B1899" s="1"/>
      <c r="C1899" s="2"/>
      <c r="D1899" s="2"/>
      <c r="E1899" s="5">
        <f t="shared" si="62"/>
        <v>0</v>
      </c>
      <c r="F1899" s="6">
        <f t="shared" si="63"/>
        <v>0</v>
      </c>
    </row>
    <row r="1900" spans="1:6" x14ac:dyDescent="0.3">
      <c r="A1900" s="4"/>
      <c r="B1900" s="1"/>
      <c r="C1900" s="2"/>
      <c r="D1900" s="2"/>
      <c r="E1900" s="5">
        <f t="shared" si="62"/>
        <v>0</v>
      </c>
      <c r="F1900" s="6">
        <f t="shared" si="63"/>
        <v>0</v>
      </c>
    </row>
    <row r="1901" spans="1:6" x14ac:dyDescent="0.3">
      <c r="A1901" s="4"/>
      <c r="B1901" s="1"/>
      <c r="C1901" s="2"/>
      <c r="D1901" s="2"/>
      <c r="E1901" s="5">
        <f t="shared" si="62"/>
        <v>0</v>
      </c>
      <c r="F1901" s="6">
        <f t="shared" si="63"/>
        <v>0</v>
      </c>
    </row>
    <row r="1902" spans="1:6" x14ac:dyDescent="0.3">
      <c r="A1902" s="4"/>
      <c r="B1902" s="1"/>
      <c r="C1902" s="2"/>
      <c r="D1902" s="2"/>
      <c r="E1902" s="5">
        <f t="shared" si="62"/>
        <v>0</v>
      </c>
      <c r="F1902" s="6">
        <f t="shared" si="63"/>
        <v>0</v>
      </c>
    </row>
    <row r="1903" spans="1:6" x14ac:dyDescent="0.3">
      <c r="A1903" s="4"/>
      <c r="B1903" s="1"/>
      <c r="C1903" s="2"/>
      <c r="D1903" s="2"/>
      <c r="E1903" s="5">
        <f t="shared" si="62"/>
        <v>0</v>
      </c>
      <c r="F1903" s="6">
        <f t="shared" si="63"/>
        <v>0</v>
      </c>
    </row>
    <row r="1904" spans="1:6" x14ac:dyDescent="0.3">
      <c r="A1904" s="4"/>
      <c r="B1904" s="1"/>
      <c r="C1904" s="2"/>
      <c r="D1904" s="2"/>
      <c r="E1904" s="5">
        <f t="shared" si="62"/>
        <v>0</v>
      </c>
      <c r="F1904" s="6">
        <f t="shared" si="63"/>
        <v>0</v>
      </c>
    </row>
    <row r="1905" spans="1:6" x14ac:dyDescent="0.3">
      <c r="A1905" s="4"/>
      <c r="B1905" s="1"/>
      <c r="C1905" s="2"/>
      <c r="D1905" s="2"/>
      <c r="E1905" s="5">
        <f t="shared" si="62"/>
        <v>0</v>
      </c>
      <c r="F1905" s="6">
        <f t="shared" si="63"/>
        <v>0</v>
      </c>
    </row>
    <row r="1906" spans="1:6" x14ac:dyDescent="0.3">
      <c r="A1906" s="4"/>
      <c r="B1906" s="1"/>
      <c r="C1906" s="2"/>
      <c r="D1906" s="2"/>
      <c r="E1906" s="5">
        <f t="shared" si="62"/>
        <v>0</v>
      </c>
      <c r="F1906" s="6">
        <f t="shared" si="63"/>
        <v>0</v>
      </c>
    </row>
    <row r="1907" spans="1:6" x14ac:dyDescent="0.3">
      <c r="A1907" s="4"/>
      <c r="B1907" s="1"/>
      <c r="C1907" s="2"/>
      <c r="D1907" s="2"/>
      <c r="E1907" s="5">
        <f t="shared" si="62"/>
        <v>0</v>
      </c>
      <c r="F1907" s="6">
        <f t="shared" si="63"/>
        <v>0</v>
      </c>
    </row>
    <row r="1908" spans="1:6" x14ac:dyDescent="0.3">
      <c r="A1908" s="4"/>
      <c r="B1908" s="1"/>
      <c r="C1908" s="2"/>
      <c r="D1908" s="2"/>
      <c r="E1908" s="5">
        <f t="shared" si="62"/>
        <v>0</v>
      </c>
      <c r="F1908" s="6">
        <f t="shared" si="63"/>
        <v>0</v>
      </c>
    </row>
    <row r="1909" spans="1:6" x14ac:dyDescent="0.3">
      <c r="A1909" s="4"/>
      <c r="B1909" s="1"/>
      <c r="C1909" s="2"/>
      <c r="D1909" s="2"/>
      <c r="E1909" s="5">
        <f t="shared" si="62"/>
        <v>0</v>
      </c>
      <c r="F1909" s="6">
        <f t="shared" si="63"/>
        <v>0</v>
      </c>
    </row>
    <row r="1910" spans="1:6" x14ac:dyDescent="0.3">
      <c r="A1910" s="4"/>
      <c r="B1910" s="1"/>
      <c r="C1910" s="2"/>
      <c r="D1910" s="2"/>
      <c r="E1910" s="5">
        <f t="shared" si="62"/>
        <v>0</v>
      </c>
      <c r="F1910" s="6">
        <f t="shared" si="63"/>
        <v>0</v>
      </c>
    </row>
    <row r="1911" spans="1:6" x14ac:dyDescent="0.3">
      <c r="A1911" s="4"/>
      <c r="B1911" s="1"/>
      <c r="C1911" s="2"/>
      <c r="D1911" s="2"/>
      <c r="E1911" s="5">
        <f t="shared" si="62"/>
        <v>0</v>
      </c>
      <c r="F1911" s="6">
        <f t="shared" si="63"/>
        <v>0</v>
      </c>
    </row>
    <row r="1912" spans="1:6" x14ac:dyDescent="0.3">
      <c r="A1912" s="4"/>
      <c r="B1912" s="1"/>
      <c r="C1912" s="2"/>
      <c r="D1912" s="2"/>
      <c r="E1912" s="5">
        <f t="shared" si="62"/>
        <v>0</v>
      </c>
      <c r="F1912" s="6">
        <f t="shared" si="63"/>
        <v>0</v>
      </c>
    </row>
    <row r="1913" spans="1:6" x14ac:dyDescent="0.3">
      <c r="A1913" s="4"/>
      <c r="B1913" s="1"/>
      <c r="C1913" s="2"/>
      <c r="D1913" s="2"/>
      <c r="E1913" s="5">
        <f t="shared" si="62"/>
        <v>0</v>
      </c>
      <c r="F1913" s="6">
        <f t="shared" si="63"/>
        <v>0</v>
      </c>
    </row>
    <row r="1914" spans="1:6" x14ac:dyDescent="0.3">
      <c r="A1914" s="4"/>
      <c r="B1914" s="1"/>
      <c r="C1914" s="2"/>
      <c r="D1914" s="2"/>
      <c r="E1914" s="5">
        <f t="shared" si="62"/>
        <v>0</v>
      </c>
      <c r="F1914" s="6">
        <f t="shared" si="63"/>
        <v>0</v>
      </c>
    </row>
    <row r="1915" spans="1:6" x14ac:dyDescent="0.3">
      <c r="A1915" s="4"/>
      <c r="B1915" s="1"/>
      <c r="C1915" s="2"/>
      <c r="D1915" s="2"/>
      <c r="E1915" s="5">
        <f t="shared" si="62"/>
        <v>0</v>
      </c>
      <c r="F1915" s="6">
        <f t="shared" si="63"/>
        <v>0</v>
      </c>
    </row>
    <row r="1916" spans="1:6" x14ac:dyDescent="0.3">
      <c r="A1916" s="4"/>
      <c r="B1916" s="1"/>
      <c r="C1916" s="2"/>
      <c r="D1916" s="2"/>
      <c r="E1916" s="5">
        <f t="shared" si="62"/>
        <v>0</v>
      </c>
      <c r="F1916" s="6">
        <f t="shared" si="63"/>
        <v>0</v>
      </c>
    </row>
    <row r="1917" spans="1:6" x14ac:dyDescent="0.3">
      <c r="A1917" s="4"/>
      <c r="B1917" s="1"/>
      <c r="C1917" s="2"/>
      <c r="D1917" s="2"/>
      <c r="E1917" s="5">
        <f t="shared" si="62"/>
        <v>0</v>
      </c>
      <c r="F1917" s="6">
        <f t="shared" si="63"/>
        <v>0</v>
      </c>
    </row>
    <row r="1918" spans="1:6" x14ac:dyDescent="0.3">
      <c r="A1918" s="4"/>
      <c r="B1918" s="1"/>
      <c r="C1918" s="2"/>
      <c r="D1918" s="2"/>
      <c r="E1918" s="5">
        <f t="shared" si="62"/>
        <v>0</v>
      </c>
      <c r="F1918" s="6">
        <f t="shared" si="63"/>
        <v>0</v>
      </c>
    </row>
    <row r="1919" spans="1:6" x14ac:dyDescent="0.3">
      <c r="A1919" s="4"/>
      <c r="B1919" s="1"/>
      <c r="C1919" s="2"/>
      <c r="D1919" s="2"/>
      <c r="E1919" s="5">
        <f t="shared" si="62"/>
        <v>0</v>
      </c>
      <c r="F1919" s="6">
        <f t="shared" si="63"/>
        <v>0</v>
      </c>
    </row>
    <row r="1920" spans="1:6" x14ac:dyDescent="0.3">
      <c r="A1920" s="4"/>
      <c r="B1920" s="1"/>
      <c r="C1920" s="2"/>
      <c r="D1920" s="2"/>
      <c r="E1920" s="5">
        <f t="shared" si="62"/>
        <v>0</v>
      </c>
      <c r="F1920" s="6">
        <f t="shared" si="63"/>
        <v>0</v>
      </c>
    </row>
    <row r="1921" spans="1:6" x14ac:dyDescent="0.3">
      <c r="A1921" s="4"/>
      <c r="B1921" s="1"/>
      <c r="C1921" s="2"/>
      <c r="D1921" s="2"/>
      <c r="E1921" s="5">
        <f t="shared" si="62"/>
        <v>0</v>
      </c>
      <c r="F1921" s="6">
        <f t="shared" si="63"/>
        <v>0</v>
      </c>
    </row>
    <row r="1922" spans="1:6" x14ac:dyDescent="0.3">
      <c r="A1922" s="4"/>
      <c r="B1922" s="1"/>
      <c r="C1922" s="2"/>
      <c r="D1922" s="2"/>
      <c r="E1922" s="5">
        <f t="shared" si="62"/>
        <v>0</v>
      </c>
      <c r="F1922" s="6">
        <f t="shared" si="63"/>
        <v>0</v>
      </c>
    </row>
    <row r="1923" spans="1:6" x14ac:dyDescent="0.3">
      <c r="A1923" s="4"/>
      <c r="B1923" s="1"/>
      <c r="C1923" s="2"/>
      <c r="D1923" s="2"/>
      <c r="E1923" s="5">
        <f t="shared" ref="E1923:E1986" si="64">D1923-C1923</f>
        <v>0</v>
      </c>
      <c r="F1923" s="6">
        <f t="shared" ref="F1923:F1986" si="65">ROUND(VALUE(E1923)*4,2)</f>
        <v>0</v>
      </c>
    </row>
    <row r="1924" spans="1:6" x14ac:dyDescent="0.3">
      <c r="A1924" s="4"/>
      <c r="B1924" s="1"/>
      <c r="C1924" s="2"/>
      <c r="D1924" s="2"/>
      <c r="E1924" s="5">
        <f t="shared" si="64"/>
        <v>0</v>
      </c>
      <c r="F1924" s="6">
        <f t="shared" si="65"/>
        <v>0</v>
      </c>
    </row>
    <row r="1925" spans="1:6" x14ac:dyDescent="0.3">
      <c r="A1925" s="4"/>
      <c r="B1925" s="1"/>
      <c r="C1925" s="2"/>
      <c r="D1925" s="2"/>
      <c r="E1925" s="5">
        <f t="shared" si="64"/>
        <v>0</v>
      </c>
      <c r="F1925" s="6">
        <f t="shared" si="65"/>
        <v>0</v>
      </c>
    </row>
    <row r="1926" spans="1:6" x14ac:dyDescent="0.3">
      <c r="A1926" s="4"/>
      <c r="B1926" s="1"/>
      <c r="C1926" s="2"/>
      <c r="D1926" s="2"/>
      <c r="E1926" s="5">
        <f t="shared" si="64"/>
        <v>0</v>
      </c>
      <c r="F1926" s="6">
        <f t="shared" si="65"/>
        <v>0</v>
      </c>
    </row>
    <row r="1927" spans="1:6" x14ac:dyDescent="0.3">
      <c r="A1927" s="4"/>
      <c r="B1927" s="1"/>
      <c r="C1927" s="2"/>
      <c r="D1927" s="2"/>
      <c r="E1927" s="5">
        <f t="shared" si="64"/>
        <v>0</v>
      </c>
      <c r="F1927" s="6">
        <f t="shared" si="65"/>
        <v>0</v>
      </c>
    </row>
    <row r="1928" spans="1:6" x14ac:dyDescent="0.3">
      <c r="A1928" s="4"/>
      <c r="B1928" s="1"/>
      <c r="C1928" s="2"/>
      <c r="D1928" s="2"/>
      <c r="E1928" s="5">
        <f t="shared" si="64"/>
        <v>0</v>
      </c>
      <c r="F1928" s="6">
        <f t="shared" si="65"/>
        <v>0</v>
      </c>
    </row>
    <row r="1929" spans="1:6" x14ac:dyDescent="0.3">
      <c r="A1929" s="4"/>
      <c r="B1929" s="1"/>
      <c r="C1929" s="2"/>
      <c r="D1929" s="2"/>
      <c r="E1929" s="5">
        <f t="shared" si="64"/>
        <v>0</v>
      </c>
      <c r="F1929" s="6">
        <f t="shared" si="65"/>
        <v>0</v>
      </c>
    </row>
    <row r="1930" spans="1:6" x14ac:dyDescent="0.3">
      <c r="A1930" s="4"/>
      <c r="B1930" s="1"/>
      <c r="C1930" s="2"/>
      <c r="D1930" s="2"/>
      <c r="E1930" s="5">
        <f t="shared" si="64"/>
        <v>0</v>
      </c>
      <c r="F1930" s="6">
        <f t="shared" si="65"/>
        <v>0</v>
      </c>
    </row>
    <row r="1931" spans="1:6" x14ac:dyDescent="0.3">
      <c r="A1931" s="4"/>
      <c r="B1931" s="1"/>
      <c r="C1931" s="2"/>
      <c r="D1931" s="2"/>
      <c r="E1931" s="5">
        <f t="shared" si="64"/>
        <v>0</v>
      </c>
      <c r="F1931" s="6">
        <f t="shared" si="65"/>
        <v>0</v>
      </c>
    </row>
    <row r="1932" spans="1:6" x14ac:dyDescent="0.3">
      <c r="A1932" s="4"/>
      <c r="B1932" s="1"/>
      <c r="C1932" s="2"/>
      <c r="D1932" s="2"/>
      <c r="E1932" s="5">
        <f t="shared" si="64"/>
        <v>0</v>
      </c>
      <c r="F1932" s="6">
        <f t="shared" si="65"/>
        <v>0</v>
      </c>
    </row>
    <row r="1933" spans="1:6" x14ac:dyDescent="0.3">
      <c r="A1933" s="4"/>
      <c r="B1933" s="1"/>
      <c r="C1933" s="2"/>
      <c r="D1933" s="2"/>
      <c r="E1933" s="5">
        <f t="shared" si="64"/>
        <v>0</v>
      </c>
      <c r="F1933" s="6">
        <f t="shared" si="65"/>
        <v>0</v>
      </c>
    </row>
    <row r="1934" spans="1:6" x14ac:dyDescent="0.3">
      <c r="A1934" s="4"/>
      <c r="B1934" s="1"/>
      <c r="C1934" s="2"/>
      <c r="D1934" s="2"/>
      <c r="E1934" s="5">
        <f t="shared" si="64"/>
        <v>0</v>
      </c>
      <c r="F1934" s="6">
        <f t="shared" si="65"/>
        <v>0</v>
      </c>
    </row>
    <row r="1935" spans="1:6" x14ac:dyDescent="0.3">
      <c r="A1935" s="4"/>
      <c r="B1935" s="1"/>
      <c r="C1935" s="2"/>
      <c r="D1935" s="2"/>
      <c r="E1935" s="5">
        <f t="shared" si="64"/>
        <v>0</v>
      </c>
      <c r="F1935" s="6">
        <f t="shared" si="65"/>
        <v>0</v>
      </c>
    </row>
    <row r="1936" spans="1:6" x14ac:dyDescent="0.3">
      <c r="A1936" s="4"/>
      <c r="B1936" s="1"/>
      <c r="C1936" s="2"/>
      <c r="D1936" s="2"/>
      <c r="E1936" s="5">
        <f t="shared" si="64"/>
        <v>0</v>
      </c>
      <c r="F1936" s="6">
        <f t="shared" si="65"/>
        <v>0</v>
      </c>
    </row>
    <row r="1937" spans="1:6" x14ac:dyDescent="0.3">
      <c r="A1937" s="4"/>
      <c r="B1937" s="1"/>
      <c r="C1937" s="2"/>
      <c r="D1937" s="2"/>
      <c r="E1937" s="5">
        <f t="shared" si="64"/>
        <v>0</v>
      </c>
      <c r="F1937" s="6">
        <f t="shared" si="65"/>
        <v>0</v>
      </c>
    </row>
    <row r="1938" spans="1:6" x14ac:dyDescent="0.3">
      <c r="A1938" s="4"/>
      <c r="B1938" s="1"/>
      <c r="C1938" s="2"/>
      <c r="D1938" s="2"/>
      <c r="E1938" s="5">
        <f t="shared" si="64"/>
        <v>0</v>
      </c>
      <c r="F1938" s="6">
        <f t="shared" si="65"/>
        <v>0</v>
      </c>
    </row>
    <row r="1939" spans="1:6" x14ac:dyDescent="0.3">
      <c r="A1939" s="4"/>
      <c r="B1939" s="1"/>
      <c r="C1939" s="2"/>
      <c r="D1939" s="2"/>
      <c r="E1939" s="5">
        <f t="shared" si="64"/>
        <v>0</v>
      </c>
      <c r="F1939" s="6">
        <f t="shared" si="65"/>
        <v>0</v>
      </c>
    </row>
    <row r="1940" spans="1:6" x14ac:dyDescent="0.3">
      <c r="A1940" s="4"/>
      <c r="B1940" s="1"/>
      <c r="C1940" s="2"/>
      <c r="D1940" s="2"/>
      <c r="E1940" s="5">
        <f t="shared" si="64"/>
        <v>0</v>
      </c>
      <c r="F1940" s="6">
        <f t="shared" si="65"/>
        <v>0</v>
      </c>
    </row>
    <row r="1941" spans="1:6" x14ac:dyDescent="0.3">
      <c r="A1941" s="4"/>
      <c r="B1941" s="1"/>
      <c r="C1941" s="2"/>
      <c r="D1941" s="2"/>
      <c r="E1941" s="5">
        <f t="shared" si="64"/>
        <v>0</v>
      </c>
      <c r="F1941" s="6">
        <f t="shared" si="65"/>
        <v>0</v>
      </c>
    </row>
    <row r="1942" spans="1:6" x14ac:dyDescent="0.3">
      <c r="A1942" s="4"/>
      <c r="B1942" s="1"/>
      <c r="C1942" s="2"/>
      <c r="D1942" s="2"/>
      <c r="E1942" s="5">
        <f t="shared" si="64"/>
        <v>0</v>
      </c>
      <c r="F1942" s="6">
        <f t="shared" si="65"/>
        <v>0</v>
      </c>
    </row>
    <row r="1943" spans="1:6" x14ac:dyDescent="0.3">
      <c r="A1943" s="4"/>
      <c r="B1943" s="1"/>
      <c r="C1943" s="2"/>
      <c r="D1943" s="2"/>
      <c r="E1943" s="5">
        <f t="shared" si="64"/>
        <v>0</v>
      </c>
      <c r="F1943" s="6">
        <f t="shared" si="65"/>
        <v>0</v>
      </c>
    </row>
    <row r="1944" spans="1:6" x14ac:dyDescent="0.3">
      <c r="A1944" s="4"/>
      <c r="B1944" s="1"/>
      <c r="C1944" s="2"/>
      <c r="D1944" s="2"/>
      <c r="E1944" s="5">
        <f t="shared" si="64"/>
        <v>0</v>
      </c>
      <c r="F1944" s="6">
        <f t="shared" si="65"/>
        <v>0</v>
      </c>
    </row>
    <row r="1945" spans="1:6" x14ac:dyDescent="0.3">
      <c r="A1945" s="4"/>
      <c r="B1945" s="1"/>
      <c r="C1945" s="2"/>
      <c r="D1945" s="2"/>
      <c r="E1945" s="5">
        <f t="shared" si="64"/>
        <v>0</v>
      </c>
      <c r="F1945" s="6">
        <f t="shared" si="65"/>
        <v>0</v>
      </c>
    </row>
    <row r="1946" spans="1:6" x14ac:dyDescent="0.3">
      <c r="A1946" s="4"/>
      <c r="B1946" s="1"/>
      <c r="C1946" s="2"/>
      <c r="D1946" s="2"/>
      <c r="E1946" s="5">
        <f t="shared" si="64"/>
        <v>0</v>
      </c>
      <c r="F1946" s="6">
        <f t="shared" si="65"/>
        <v>0</v>
      </c>
    </row>
    <row r="1947" spans="1:6" x14ac:dyDescent="0.3">
      <c r="A1947" s="4"/>
      <c r="B1947" s="1"/>
      <c r="C1947" s="2"/>
      <c r="D1947" s="2"/>
      <c r="E1947" s="5">
        <f t="shared" si="64"/>
        <v>0</v>
      </c>
      <c r="F1947" s="6">
        <f t="shared" si="65"/>
        <v>0</v>
      </c>
    </row>
    <row r="1948" spans="1:6" x14ac:dyDescent="0.3">
      <c r="A1948" s="4"/>
      <c r="B1948" s="1"/>
      <c r="C1948" s="2"/>
      <c r="D1948" s="2"/>
      <c r="E1948" s="5">
        <f t="shared" si="64"/>
        <v>0</v>
      </c>
      <c r="F1948" s="6">
        <f t="shared" si="65"/>
        <v>0</v>
      </c>
    </row>
    <row r="1949" spans="1:6" x14ac:dyDescent="0.3">
      <c r="A1949" s="4"/>
      <c r="B1949" s="1"/>
      <c r="C1949" s="2"/>
      <c r="D1949" s="2"/>
      <c r="E1949" s="5">
        <f t="shared" si="64"/>
        <v>0</v>
      </c>
      <c r="F1949" s="6">
        <f t="shared" si="65"/>
        <v>0</v>
      </c>
    </row>
    <row r="1950" spans="1:6" x14ac:dyDescent="0.3">
      <c r="A1950" s="4"/>
      <c r="B1950" s="1"/>
      <c r="C1950" s="2"/>
      <c r="D1950" s="2"/>
      <c r="E1950" s="5">
        <f t="shared" si="64"/>
        <v>0</v>
      </c>
      <c r="F1950" s="6">
        <f t="shared" si="65"/>
        <v>0</v>
      </c>
    </row>
    <row r="1951" spans="1:6" x14ac:dyDescent="0.3">
      <c r="A1951" s="4"/>
      <c r="B1951" s="1"/>
      <c r="C1951" s="2"/>
      <c r="D1951" s="2"/>
      <c r="E1951" s="5">
        <f t="shared" si="64"/>
        <v>0</v>
      </c>
      <c r="F1951" s="6">
        <f t="shared" si="65"/>
        <v>0</v>
      </c>
    </row>
    <row r="1952" spans="1:6" x14ac:dyDescent="0.3">
      <c r="A1952" s="4"/>
      <c r="B1952" s="1"/>
      <c r="C1952" s="2"/>
      <c r="D1952" s="2"/>
      <c r="E1952" s="5">
        <f t="shared" si="64"/>
        <v>0</v>
      </c>
      <c r="F1952" s="6">
        <f t="shared" si="65"/>
        <v>0</v>
      </c>
    </row>
    <row r="1953" spans="1:6" x14ac:dyDescent="0.3">
      <c r="A1953" s="4"/>
      <c r="B1953" s="1"/>
      <c r="C1953" s="2"/>
      <c r="D1953" s="2"/>
      <c r="E1953" s="5">
        <f t="shared" si="64"/>
        <v>0</v>
      </c>
      <c r="F1953" s="6">
        <f t="shared" si="65"/>
        <v>0</v>
      </c>
    </row>
    <row r="1954" spans="1:6" x14ac:dyDescent="0.3">
      <c r="A1954" s="4"/>
      <c r="B1954" s="1"/>
      <c r="C1954" s="2"/>
      <c r="D1954" s="2"/>
      <c r="E1954" s="5">
        <f t="shared" si="64"/>
        <v>0</v>
      </c>
      <c r="F1954" s="6">
        <f t="shared" si="65"/>
        <v>0</v>
      </c>
    </row>
    <row r="1955" spans="1:6" x14ac:dyDescent="0.3">
      <c r="A1955" s="4"/>
      <c r="B1955" s="1"/>
      <c r="C1955" s="2"/>
      <c r="D1955" s="2"/>
      <c r="E1955" s="5">
        <f t="shared" si="64"/>
        <v>0</v>
      </c>
      <c r="F1955" s="6">
        <f t="shared" si="65"/>
        <v>0</v>
      </c>
    </row>
    <row r="1956" spans="1:6" x14ac:dyDescent="0.3">
      <c r="A1956" s="4"/>
      <c r="B1956" s="1"/>
      <c r="C1956" s="2"/>
      <c r="D1956" s="2"/>
      <c r="E1956" s="5">
        <f t="shared" si="64"/>
        <v>0</v>
      </c>
      <c r="F1956" s="6">
        <f t="shared" si="65"/>
        <v>0</v>
      </c>
    </row>
    <row r="1957" spans="1:6" x14ac:dyDescent="0.3">
      <c r="A1957" s="4"/>
      <c r="B1957" s="1"/>
      <c r="C1957" s="2"/>
      <c r="D1957" s="2"/>
      <c r="E1957" s="5">
        <f t="shared" si="64"/>
        <v>0</v>
      </c>
      <c r="F1957" s="6">
        <f t="shared" si="65"/>
        <v>0</v>
      </c>
    </row>
    <row r="1958" spans="1:6" x14ac:dyDescent="0.3">
      <c r="A1958" s="4"/>
      <c r="B1958" s="1"/>
      <c r="C1958" s="2"/>
      <c r="D1958" s="2"/>
      <c r="E1958" s="5">
        <f t="shared" si="64"/>
        <v>0</v>
      </c>
      <c r="F1958" s="6">
        <f t="shared" si="65"/>
        <v>0</v>
      </c>
    </row>
    <row r="1959" spans="1:6" x14ac:dyDescent="0.3">
      <c r="A1959" s="4"/>
      <c r="B1959" s="1"/>
      <c r="C1959" s="2"/>
      <c r="D1959" s="2"/>
      <c r="E1959" s="5">
        <f t="shared" si="64"/>
        <v>0</v>
      </c>
      <c r="F1959" s="6">
        <f t="shared" si="65"/>
        <v>0</v>
      </c>
    </row>
    <row r="1960" spans="1:6" x14ac:dyDescent="0.3">
      <c r="A1960" s="4"/>
      <c r="B1960" s="1"/>
      <c r="C1960" s="2"/>
      <c r="D1960" s="2"/>
      <c r="E1960" s="5">
        <f t="shared" si="64"/>
        <v>0</v>
      </c>
      <c r="F1960" s="6">
        <f t="shared" si="65"/>
        <v>0</v>
      </c>
    </row>
    <row r="1961" spans="1:6" x14ac:dyDescent="0.3">
      <c r="A1961" s="4"/>
      <c r="B1961" s="1"/>
      <c r="C1961" s="2"/>
      <c r="D1961" s="2"/>
      <c r="E1961" s="5">
        <f t="shared" si="64"/>
        <v>0</v>
      </c>
      <c r="F1961" s="6">
        <f t="shared" si="65"/>
        <v>0</v>
      </c>
    </row>
    <row r="1962" spans="1:6" x14ac:dyDescent="0.3">
      <c r="A1962" s="4"/>
      <c r="B1962" s="1"/>
      <c r="C1962" s="2"/>
      <c r="D1962" s="2"/>
      <c r="E1962" s="5">
        <f t="shared" si="64"/>
        <v>0</v>
      </c>
      <c r="F1962" s="6">
        <f t="shared" si="65"/>
        <v>0</v>
      </c>
    </row>
    <row r="1963" spans="1:6" x14ac:dyDescent="0.3">
      <c r="A1963" s="4"/>
      <c r="B1963" s="1"/>
      <c r="C1963" s="2"/>
      <c r="D1963" s="2"/>
      <c r="E1963" s="5">
        <f t="shared" si="64"/>
        <v>0</v>
      </c>
      <c r="F1963" s="6">
        <f t="shared" si="65"/>
        <v>0</v>
      </c>
    </row>
    <row r="1964" spans="1:6" x14ac:dyDescent="0.3">
      <c r="A1964" s="4"/>
      <c r="B1964" s="1"/>
      <c r="C1964" s="2"/>
      <c r="D1964" s="2"/>
      <c r="E1964" s="5">
        <f t="shared" si="64"/>
        <v>0</v>
      </c>
      <c r="F1964" s="6">
        <f t="shared" si="65"/>
        <v>0</v>
      </c>
    </row>
    <row r="1965" spans="1:6" x14ac:dyDescent="0.3">
      <c r="A1965" s="4"/>
      <c r="B1965" s="1"/>
      <c r="C1965" s="2"/>
      <c r="D1965" s="2"/>
      <c r="E1965" s="5">
        <f t="shared" si="64"/>
        <v>0</v>
      </c>
      <c r="F1965" s="6">
        <f t="shared" si="65"/>
        <v>0</v>
      </c>
    </row>
    <row r="1966" spans="1:6" x14ac:dyDescent="0.3">
      <c r="A1966" s="4"/>
      <c r="B1966" s="1"/>
      <c r="C1966" s="2"/>
      <c r="D1966" s="2"/>
      <c r="E1966" s="5">
        <f t="shared" si="64"/>
        <v>0</v>
      </c>
      <c r="F1966" s="6">
        <f t="shared" si="65"/>
        <v>0</v>
      </c>
    </row>
    <row r="1967" spans="1:6" x14ac:dyDescent="0.3">
      <c r="A1967" s="4"/>
      <c r="B1967" s="1"/>
      <c r="C1967" s="2"/>
      <c r="D1967" s="2"/>
      <c r="E1967" s="5">
        <f t="shared" si="64"/>
        <v>0</v>
      </c>
      <c r="F1967" s="6">
        <f t="shared" si="65"/>
        <v>0</v>
      </c>
    </row>
    <row r="1968" spans="1:6" x14ac:dyDescent="0.3">
      <c r="A1968" s="4"/>
      <c r="B1968" s="1"/>
      <c r="C1968" s="2"/>
      <c r="D1968" s="2"/>
      <c r="E1968" s="5">
        <f t="shared" si="64"/>
        <v>0</v>
      </c>
      <c r="F1968" s="6">
        <f t="shared" si="65"/>
        <v>0</v>
      </c>
    </row>
    <row r="1969" spans="1:6" x14ac:dyDescent="0.3">
      <c r="A1969" s="4"/>
      <c r="B1969" s="1"/>
      <c r="C1969" s="2"/>
      <c r="D1969" s="2"/>
      <c r="E1969" s="5">
        <f t="shared" si="64"/>
        <v>0</v>
      </c>
      <c r="F1969" s="6">
        <f t="shared" si="65"/>
        <v>0</v>
      </c>
    </row>
    <row r="1970" spans="1:6" x14ac:dyDescent="0.3">
      <c r="A1970" s="4"/>
      <c r="B1970" s="1"/>
      <c r="C1970" s="2"/>
      <c r="D1970" s="2"/>
      <c r="E1970" s="5">
        <f t="shared" si="64"/>
        <v>0</v>
      </c>
      <c r="F1970" s="6">
        <f t="shared" si="65"/>
        <v>0</v>
      </c>
    </row>
    <row r="1971" spans="1:6" x14ac:dyDescent="0.3">
      <c r="A1971" s="4"/>
      <c r="B1971" s="1"/>
      <c r="C1971" s="2"/>
      <c r="D1971" s="2"/>
      <c r="E1971" s="5">
        <f t="shared" si="64"/>
        <v>0</v>
      </c>
      <c r="F1971" s="6">
        <f t="shared" si="65"/>
        <v>0</v>
      </c>
    </row>
    <row r="1972" spans="1:6" x14ac:dyDescent="0.3">
      <c r="A1972" s="4"/>
      <c r="B1972" s="1"/>
      <c r="C1972" s="2"/>
      <c r="D1972" s="2"/>
      <c r="E1972" s="5">
        <f t="shared" si="64"/>
        <v>0</v>
      </c>
      <c r="F1972" s="6">
        <f t="shared" si="65"/>
        <v>0</v>
      </c>
    </row>
    <row r="1973" spans="1:6" x14ac:dyDescent="0.3">
      <c r="A1973" s="4"/>
      <c r="B1973" s="1"/>
      <c r="C1973" s="2"/>
      <c r="D1973" s="2"/>
      <c r="E1973" s="5">
        <f t="shared" si="64"/>
        <v>0</v>
      </c>
      <c r="F1973" s="6">
        <f t="shared" si="65"/>
        <v>0</v>
      </c>
    </row>
    <row r="1974" spans="1:6" x14ac:dyDescent="0.3">
      <c r="A1974" s="4"/>
      <c r="B1974" s="1"/>
      <c r="C1974" s="2"/>
      <c r="D1974" s="2"/>
      <c r="E1974" s="5">
        <f t="shared" si="64"/>
        <v>0</v>
      </c>
      <c r="F1974" s="6">
        <f t="shared" si="65"/>
        <v>0</v>
      </c>
    </row>
    <row r="1975" spans="1:6" x14ac:dyDescent="0.3">
      <c r="A1975" s="4"/>
      <c r="B1975" s="1"/>
      <c r="C1975" s="2"/>
      <c r="D1975" s="2"/>
      <c r="E1975" s="5">
        <f t="shared" si="64"/>
        <v>0</v>
      </c>
      <c r="F1975" s="6">
        <f t="shared" si="65"/>
        <v>0</v>
      </c>
    </row>
    <row r="1976" spans="1:6" x14ac:dyDescent="0.3">
      <c r="A1976" s="4"/>
      <c r="B1976" s="1"/>
      <c r="C1976" s="2"/>
      <c r="D1976" s="2"/>
      <c r="E1976" s="5">
        <f t="shared" si="64"/>
        <v>0</v>
      </c>
      <c r="F1976" s="6">
        <f t="shared" si="65"/>
        <v>0</v>
      </c>
    </row>
    <row r="1977" spans="1:6" x14ac:dyDescent="0.3">
      <c r="A1977" s="4"/>
      <c r="B1977" s="1"/>
      <c r="C1977" s="2"/>
      <c r="D1977" s="2"/>
      <c r="E1977" s="5">
        <f t="shared" si="64"/>
        <v>0</v>
      </c>
      <c r="F1977" s="6">
        <f t="shared" si="65"/>
        <v>0</v>
      </c>
    </row>
    <row r="1978" spans="1:6" x14ac:dyDescent="0.3">
      <c r="A1978" s="4"/>
      <c r="B1978" s="1"/>
      <c r="C1978" s="2"/>
      <c r="D1978" s="2"/>
      <c r="E1978" s="5">
        <f t="shared" si="64"/>
        <v>0</v>
      </c>
      <c r="F1978" s="6">
        <f t="shared" si="65"/>
        <v>0</v>
      </c>
    </row>
    <row r="1979" spans="1:6" x14ac:dyDescent="0.3">
      <c r="A1979" s="4"/>
      <c r="B1979" s="1"/>
      <c r="C1979" s="2"/>
      <c r="D1979" s="2"/>
      <c r="E1979" s="5">
        <f t="shared" si="64"/>
        <v>0</v>
      </c>
      <c r="F1979" s="6">
        <f t="shared" si="65"/>
        <v>0</v>
      </c>
    </row>
    <row r="1980" spans="1:6" x14ac:dyDescent="0.3">
      <c r="A1980" s="4"/>
      <c r="B1980" s="1"/>
      <c r="C1980" s="2"/>
      <c r="D1980" s="2"/>
      <c r="E1980" s="5">
        <f t="shared" si="64"/>
        <v>0</v>
      </c>
      <c r="F1980" s="6">
        <f t="shared" si="65"/>
        <v>0</v>
      </c>
    </row>
    <row r="1981" spans="1:6" x14ac:dyDescent="0.3">
      <c r="A1981" s="4"/>
      <c r="B1981" s="1"/>
      <c r="C1981" s="2"/>
      <c r="D1981" s="2"/>
      <c r="E1981" s="5">
        <f t="shared" si="64"/>
        <v>0</v>
      </c>
      <c r="F1981" s="6">
        <f t="shared" si="65"/>
        <v>0</v>
      </c>
    </row>
    <row r="1982" spans="1:6" x14ac:dyDescent="0.3">
      <c r="A1982" s="4"/>
      <c r="B1982" s="1"/>
      <c r="C1982" s="2"/>
      <c r="D1982" s="2"/>
      <c r="E1982" s="5">
        <f t="shared" si="64"/>
        <v>0</v>
      </c>
      <c r="F1982" s="6">
        <f t="shared" si="65"/>
        <v>0</v>
      </c>
    </row>
    <row r="1983" spans="1:6" x14ac:dyDescent="0.3">
      <c r="A1983" s="4"/>
      <c r="B1983" s="1"/>
      <c r="C1983" s="2"/>
      <c r="D1983" s="2"/>
      <c r="E1983" s="5">
        <f t="shared" si="64"/>
        <v>0</v>
      </c>
      <c r="F1983" s="6">
        <f t="shared" si="65"/>
        <v>0</v>
      </c>
    </row>
    <row r="1984" spans="1:6" x14ac:dyDescent="0.3">
      <c r="A1984" s="4"/>
      <c r="B1984" s="1"/>
      <c r="C1984" s="2"/>
      <c r="D1984" s="2"/>
      <c r="E1984" s="5">
        <f t="shared" si="64"/>
        <v>0</v>
      </c>
      <c r="F1984" s="6">
        <f t="shared" si="65"/>
        <v>0</v>
      </c>
    </row>
    <row r="1985" spans="1:6" x14ac:dyDescent="0.3">
      <c r="A1985" s="4"/>
      <c r="B1985" s="1"/>
      <c r="C1985" s="2"/>
      <c r="D1985" s="2"/>
      <c r="E1985" s="5">
        <f t="shared" si="64"/>
        <v>0</v>
      </c>
      <c r="F1985" s="6">
        <f t="shared" si="65"/>
        <v>0</v>
      </c>
    </row>
    <row r="1986" spans="1:6" x14ac:dyDescent="0.3">
      <c r="A1986" s="4"/>
      <c r="B1986" s="1"/>
      <c r="C1986" s="2"/>
      <c r="D1986" s="2"/>
      <c r="E1986" s="5">
        <f t="shared" si="64"/>
        <v>0</v>
      </c>
      <c r="F1986" s="6">
        <f t="shared" si="65"/>
        <v>0</v>
      </c>
    </row>
    <row r="1987" spans="1:6" x14ac:dyDescent="0.3">
      <c r="A1987" s="4"/>
      <c r="B1987" s="1"/>
      <c r="C1987" s="2"/>
      <c r="D1987" s="2"/>
      <c r="E1987" s="5">
        <f t="shared" ref="E1987:E2050" si="66">D1987-C1987</f>
        <v>0</v>
      </c>
      <c r="F1987" s="6">
        <f t="shared" ref="F1987:F2050" si="67">ROUND(VALUE(E1987)*4,2)</f>
        <v>0</v>
      </c>
    </row>
    <row r="1988" spans="1:6" x14ac:dyDescent="0.3">
      <c r="A1988" s="4"/>
      <c r="B1988" s="1"/>
      <c r="C1988" s="2"/>
      <c r="D1988" s="2"/>
      <c r="E1988" s="5">
        <f t="shared" si="66"/>
        <v>0</v>
      </c>
      <c r="F1988" s="6">
        <f t="shared" si="67"/>
        <v>0</v>
      </c>
    </row>
    <row r="1989" spans="1:6" x14ac:dyDescent="0.3">
      <c r="A1989" s="4"/>
      <c r="B1989" s="1"/>
      <c r="C1989" s="2"/>
      <c r="D1989" s="2"/>
      <c r="E1989" s="5">
        <f t="shared" si="66"/>
        <v>0</v>
      </c>
      <c r="F1989" s="6">
        <f t="shared" si="67"/>
        <v>0</v>
      </c>
    </row>
    <row r="1990" spans="1:6" x14ac:dyDescent="0.3">
      <c r="A1990" s="4"/>
      <c r="B1990" s="1"/>
      <c r="C1990" s="2"/>
      <c r="D1990" s="2"/>
      <c r="E1990" s="5">
        <f t="shared" si="66"/>
        <v>0</v>
      </c>
      <c r="F1990" s="6">
        <f t="shared" si="67"/>
        <v>0</v>
      </c>
    </row>
    <row r="1991" spans="1:6" x14ac:dyDescent="0.3">
      <c r="A1991" s="4"/>
      <c r="B1991" s="1"/>
      <c r="C1991" s="2"/>
      <c r="D1991" s="2"/>
      <c r="E1991" s="5">
        <f t="shared" si="66"/>
        <v>0</v>
      </c>
      <c r="F1991" s="6">
        <f t="shared" si="67"/>
        <v>0</v>
      </c>
    </row>
    <row r="1992" spans="1:6" x14ac:dyDescent="0.3">
      <c r="A1992" s="4"/>
      <c r="B1992" s="1"/>
      <c r="C1992" s="2"/>
      <c r="D1992" s="2"/>
      <c r="E1992" s="5">
        <f t="shared" si="66"/>
        <v>0</v>
      </c>
      <c r="F1992" s="6">
        <f t="shared" si="67"/>
        <v>0</v>
      </c>
    </row>
    <row r="1993" spans="1:6" x14ac:dyDescent="0.3">
      <c r="A1993" s="4"/>
      <c r="B1993" s="1"/>
      <c r="C1993" s="2"/>
      <c r="D1993" s="2"/>
      <c r="E1993" s="5">
        <f t="shared" si="66"/>
        <v>0</v>
      </c>
      <c r="F1993" s="6">
        <f t="shared" si="67"/>
        <v>0</v>
      </c>
    </row>
    <row r="1994" spans="1:6" x14ac:dyDescent="0.3">
      <c r="A1994" s="4"/>
      <c r="B1994" s="1"/>
      <c r="C1994" s="2"/>
      <c r="D1994" s="2"/>
      <c r="E1994" s="5">
        <f t="shared" si="66"/>
        <v>0</v>
      </c>
      <c r="F1994" s="6">
        <f t="shared" si="67"/>
        <v>0</v>
      </c>
    </row>
    <row r="1995" spans="1:6" x14ac:dyDescent="0.3">
      <c r="A1995" s="4"/>
      <c r="B1995" s="1"/>
      <c r="C1995" s="2"/>
      <c r="D1995" s="2"/>
      <c r="E1995" s="5">
        <f t="shared" si="66"/>
        <v>0</v>
      </c>
      <c r="F1995" s="6">
        <f t="shared" si="67"/>
        <v>0</v>
      </c>
    </row>
    <row r="1996" spans="1:6" x14ac:dyDescent="0.3">
      <c r="A1996" s="4"/>
      <c r="B1996" s="1"/>
      <c r="C1996" s="2"/>
      <c r="D1996" s="2"/>
      <c r="E1996" s="5">
        <f t="shared" si="66"/>
        <v>0</v>
      </c>
      <c r="F1996" s="6">
        <f t="shared" si="67"/>
        <v>0</v>
      </c>
    </row>
    <row r="1997" spans="1:6" x14ac:dyDescent="0.3">
      <c r="A1997" s="4"/>
      <c r="B1997" s="1"/>
      <c r="C1997" s="2"/>
      <c r="D1997" s="2"/>
      <c r="E1997" s="5">
        <f t="shared" si="66"/>
        <v>0</v>
      </c>
      <c r="F1997" s="6">
        <f t="shared" si="67"/>
        <v>0</v>
      </c>
    </row>
    <row r="1998" spans="1:6" x14ac:dyDescent="0.3">
      <c r="A1998" s="4"/>
      <c r="B1998" s="1"/>
      <c r="C1998" s="2"/>
      <c r="D1998" s="2"/>
      <c r="E1998" s="5">
        <f t="shared" si="66"/>
        <v>0</v>
      </c>
      <c r="F1998" s="6">
        <f t="shared" si="67"/>
        <v>0</v>
      </c>
    </row>
    <row r="1999" spans="1:6" x14ac:dyDescent="0.3">
      <c r="A1999" s="4"/>
      <c r="B1999" s="1"/>
      <c r="C1999" s="2"/>
      <c r="D1999" s="2"/>
      <c r="E1999" s="5">
        <f t="shared" si="66"/>
        <v>0</v>
      </c>
      <c r="F1999" s="6">
        <f t="shared" si="67"/>
        <v>0</v>
      </c>
    </row>
    <row r="2000" spans="1:6" x14ac:dyDescent="0.3">
      <c r="A2000" s="4"/>
      <c r="B2000" s="1"/>
      <c r="C2000" s="2"/>
      <c r="D2000" s="2"/>
      <c r="E2000" s="5">
        <f t="shared" si="66"/>
        <v>0</v>
      </c>
      <c r="F2000" s="6">
        <f t="shared" si="67"/>
        <v>0</v>
      </c>
    </row>
    <row r="2001" spans="1:6" x14ac:dyDescent="0.3">
      <c r="A2001" s="4"/>
      <c r="B2001" s="1"/>
      <c r="C2001" s="2"/>
      <c r="D2001" s="2"/>
      <c r="E2001" s="5">
        <f t="shared" si="66"/>
        <v>0</v>
      </c>
      <c r="F2001" s="6">
        <f t="shared" si="67"/>
        <v>0</v>
      </c>
    </row>
    <row r="2002" spans="1:6" x14ac:dyDescent="0.3">
      <c r="A2002" s="4"/>
      <c r="B2002" s="1"/>
      <c r="C2002" s="2"/>
      <c r="D2002" s="2"/>
      <c r="E2002" s="5">
        <f t="shared" si="66"/>
        <v>0</v>
      </c>
      <c r="F2002" s="6">
        <f t="shared" si="67"/>
        <v>0</v>
      </c>
    </row>
    <row r="2003" spans="1:6" x14ac:dyDescent="0.3">
      <c r="A2003" s="4"/>
      <c r="B2003" s="1"/>
      <c r="C2003" s="2"/>
      <c r="D2003" s="2"/>
      <c r="E2003" s="5">
        <f t="shared" si="66"/>
        <v>0</v>
      </c>
      <c r="F2003" s="6">
        <f t="shared" si="67"/>
        <v>0</v>
      </c>
    </row>
    <row r="2004" spans="1:6" x14ac:dyDescent="0.3">
      <c r="A2004" s="4"/>
      <c r="B2004" s="1"/>
      <c r="C2004" s="2"/>
      <c r="D2004" s="2"/>
      <c r="E2004" s="5">
        <f t="shared" si="66"/>
        <v>0</v>
      </c>
      <c r="F2004" s="6">
        <f t="shared" si="67"/>
        <v>0</v>
      </c>
    </row>
    <row r="2005" spans="1:6" x14ac:dyDescent="0.3">
      <c r="A2005" s="4"/>
      <c r="B2005" s="1"/>
      <c r="C2005" s="2"/>
      <c r="D2005" s="2"/>
      <c r="E2005" s="5">
        <f t="shared" si="66"/>
        <v>0</v>
      </c>
      <c r="F2005" s="6">
        <f t="shared" si="67"/>
        <v>0</v>
      </c>
    </row>
    <row r="2006" spans="1:6" x14ac:dyDescent="0.3">
      <c r="A2006" s="4"/>
      <c r="B2006" s="1"/>
      <c r="C2006" s="2"/>
      <c r="D2006" s="2"/>
      <c r="E2006" s="5">
        <f t="shared" si="66"/>
        <v>0</v>
      </c>
      <c r="F2006" s="6">
        <f t="shared" si="67"/>
        <v>0</v>
      </c>
    </row>
    <row r="2007" spans="1:6" x14ac:dyDescent="0.3">
      <c r="A2007" s="4"/>
      <c r="B2007" s="1"/>
      <c r="C2007" s="2"/>
      <c r="D2007" s="2"/>
      <c r="E2007" s="5">
        <f t="shared" si="66"/>
        <v>0</v>
      </c>
      <c r="F2007" s="6">
        <f t="shared" si="67"/>
        <v>0</v>
      </c>
    </row>
    <row r="2008" spans="1:6" x14ac:dyDescent="0.3">
      <c r="A2008" s="4"/>
      <c r="B2008" s="1"/>
      <c r="C2008" s="2"/>
      <c r="D2008" s="2"/>
      <c r="E2008" s="5">
        <f t="shared" si="66"/>
        <v>0</v>
      </c>
      <c r="F2008" s="6">
        <f t="shared" si="67"/>
        <v>0</v>
      </c>
    </row>
    <row r="2009" spans="1:6" x14ac:dyDescent="0.3">
      <c r="A2009" s="4"/>
      <c r="B2009" s="1"/>
      <c r="C2009" s="2"/>
      <c r="D2009" s="2"/>
      <c r="E2009" s="5">
        <f t="shared" si="66"/>
        <v>0</v>
      </c>
      <c r="F2009" s="6">
        <f t="shared" si="67"/>
        <v>0</v>
      </c>
    </row>
    <row r="2010" spans="1:6" x14ac:dyDescent="0.3">
      <c r="A2010" s="4"/>
      <c r="B2010" s="1"/>
      <c r="C2010" s="2"/>
      <c r="D2010" s="2"/>
      <c r="E2010" s="5">
        <f t="shared" si="66"/>
        <v>0</v>
      </c>
      <c r="F2010" s="6">
        <f t="shared" si="67"/>
        <v>0</v>
      </c>
    </row>
    <row r="2011" spans="1:6" x14ac:dyDescent="0.3">
      <c r="A2011" s="4"/>
      <c r="B2011" s="1"/>
      <c r="C2011" s="2"/>
      <c r="D2011" s="2"/>
      <c r="E2011" s="5">
        <f t="shared" si="66"/>
        <v>0</v>
      </c>
      <c r="F2011" s="6">
        <f t="shared" si="67"/>
        <v>0</v>
      </c>
    </row>
    <row r="2012" spans="1:6" x14ac:dyDescent="0.3">
      <c r="A2012" s="4"/>
      <c r="B2012" s="1"/>
      <c r="C2012" s="2"/>
      <c r="D2012" s="2"/>
      <c r="E2012" s="5">
        <f t="shared" si="66"/>
        <v>0</v>
      </c>
      <c r="F2012" s="6">
        <f t="shared" si="67"/>
        <v>0</v>
      </c>
    </row>
    <row r="2013" spans="1:6" x14ac:dyDescent="0.3">
      <c r="A2013" s="4"/>
      <c r="B2013" s="1"/>
      <c r="C2013" s="2"/>
      <c r="D2013" s="2"/>
      <c r="E2013" s="5">
        <f t="shared" si="66"/>
        <v>0</v>
      </c>
      <c r="F2013" s="6">
        <f t="shared" si="67"/>
        <v>0</v>
      </c>
    </row>
    <row r="2014" spans="1:6" x14ac:dyDescent="0.3">
      <c r="A2014" s="4"/>
      <c r="B2014" s="1"/>
      <c r="C2014" s="2"/>
      <c r="D2014" s="2"/>
      <c r="E2014" s="5">
        <f t="shared" si="66"/>
        <v>0</v>
      </c>
      <c r="F2014" s="6">
        <f t="shared" si="67"/>
        <v>0</v>
      </c>
    </row>
    <row r="2015" spans="1:6" x14ac:dyDescent="0.3">
      <c r="A2015" s="4"/>
      <c r="B2015" s="1"/>
      <c r="C2015" s="2"/>
      <c r="D2015" s="2"/>
      <c r="E2015" s="5">
        <f t="shared" si="66"/>
        <v>0</v>
      </c>
      <c r="F2015" s="6">
        <f t="shared" si="67"/>
        <v>0</v>
      </c>
    </row>
    <row r="2016" spans="1:6" x14ac:dyDescent="0.3">
      <c r="A2016" s="4"/>
      <c r="B2016" s="1"/>
      <c r="C2016" s="2"/>
      <c r="D2016" s="2"/>
      <c r="E2016" s="5">
        <f t="shared" si="66"/>
        <v>0</v>
      </c>
      <c r="F2016" s="6">
        <f t="shared" si="67"/>
        <v>0</v>
      </c>
    </row>
    <row r="2017" spans="1:6" x14ac:dyDescent="0.3">
      <c r="A2017" s="4"/>
      <c r="B2017" s="1"/>
      <c r="C2017" s="2"/>
      <c r="D2017" s="2"/>
      <c r="E2017" s="5">
        <f t="shared" si="66"/>
        <v>0</v>
      </c>
      <c r="F2017" s="6">
        <f t="shared" si="67"/>
        <v>0</v>
      </c>
    </row>
    <row r="2018" spans="1:6" x14ac:dyDescent="0.3">
      <c r="A2018" s="4"/>
      <c r="B2018" s="1"/>
      <c r="C2018" s="2"/>
      <c r="D2018" s="2"/>
      <c r="E2018" s="5">
        <f t="shared" si="66"/>
        <v>0</v>
      </c>
      <c r="F2018" s="6">
        <f t="shared" si="67"/>
        <v>0</v>
      </c>
    </row>
    <row r="2019" spans="1:6" x14ac:dyDescent="0.3">
      <c r="A2019" s="4"/>
      <c r="B2019" s="1"/>
      <c r="C2019" s="2"/>
      <c r="D2019" s="2"/>
      <c r="E2019" s="5">
        <f t="shared" si="66"/>
        <v>0</v>
      </c>
      <c r="F2019" s="6">
        <f t="shared" si="67"/>
        <v>0</v>
      </c>
    </row>
    <row r="2020" spans="1:6" x14ac:dyDescent="0.3">
      <c r="A2020" s="4"/>
      <c r="B2020" s="1"/>
      <c r="C2020" s="2"/>
      <c r="D2020" s="2"/>
      <c r="E2020" s="5">
        <f t="shared" si="66"/>
        <v>0</v>
      </c>
      <c r="F2020" s="6">
        <f t="shared" si="67"/>
        <v>0</v>
      </c>
    </row>
    <row r="2021" spans="1:6" x14ac:dyDescent="0.3">
      <c r="A2021" s="4"/>
      <c r="B2021" s="1"/>
      <c r="C2021" s="2"/>
      <c r="D2021" s="2"/>
      <c r="E2021" s="5">
        <f t="shared" si="66"/>
        <v>0</v>
      </c>
      <c r="F2021" s="6">
        <f t="shared" si="67"/>
        <v>0</v>
      </c>
    </row>
    <row r="2022" spans="1:6" x14ac:dyDescent="0.3">
      <c r="A2022" s="4"/>
      <c r="B2022" s="1"/>
      <c r="C2022" s="2"/>
      <c r="D2022" s="2"/>
      <c r="E2022" s="5">
        <f t="shared" si="66"/>
        <v>0</v>
      </c>
      <c r="F2022" s="6">
        <f t="shared" si="67"/>
        <v>0</v>
      </c>
    </row>
    <row r="2023" spans="1:6" x14ac:dyDescent="0.3">
      <c r="A2023" s="4"/>
      <c r="B2023" s="1"/>
      <c r="C2023" s="2"/>
      <c r="D2023" s="2"/>
      <c r="E2023" s="5">
        <f t="shared" si="66"/>
        <v>0</v>
      </c>
      <c r="F2023" s="6">
        <f t="shared" si="67"/>
        <v>0</v>
      </c>
    </row>
    <row r="2024" spans="1:6" x14ac:dyDescent="0.3">
      <c r="A2024" s="4"/>
      <c r="B2024" s="1"/>
      <c r="C2024" s="2"/>
      <c r="D2024" s="2"/>
      <c r="E2024" s="5">
        <f t="shared" si="66"/>
        <v>0</v>
      </c>
      <c r="F2024" s="6">
        <f t="shared" si="67"/>
        <v>0</v>
      </c>
    </row>
    <row r="2025" spans="1:6" x14ac:dyDescent="0.3">
      <c r="A2025" s="4"/>
      <c r="B2025" s="1"/>
      <c r="C2025" s="2"/>
      <c r="D2025" s="2"/>
      <c r="E2025" s="5">
        <f t="shared" si="66"/>
        <v>0</v>
      </c>
      <c r="F2025" s="6">
        <f t="shared" si="67"/>
        <v>0</v>
      </c>
    </row>
    <row r="2026" spans="1:6" x14ac:dyDescent="0.3">
      <c r="A2026" s="4"/>
      <c r="B2026" s="1"/>
      <c r="C2026" s="2"/>
      <c r="D2026" s="2"/>
      <c r="E2026" s="5">
        <f t="shared" si="66"/>
        <v>0</v>
      </c>
      <c r="F2026" s="6">
        <f t="shared" si="67"/>
        <v>0</v>
      </c>
    </row>
    <row r="2027" spans="1:6" x14ac:dyDescent="0.3">
      <c r="A2027" s="4"/>
      <c r="B2027" s="1"/>
      <c r="C2027" s="2"/>
      <c r="D2027" s="2"/>
      <c r="E2027" s="5">
        <f t="shared" si="66"/>
        <v>0</v>
      </c>
      <c r="F2027" s="6">
        <f t="shared" si="67"/>
        <v>0</v>
      </c>
    </row>
    <row r="2028" spans="1:6" x14ac:dyDescent="0.3">
      <c r="A2028" s="4"/>
      <c r="B2028" s="1"/>
      <c r="C2028" s="2"/>
      <c r="D2028" s="2"/>
      <c r="E2028" s="5">
        <f t="shared" si="66"/>
        <v>0</v>
      </c>
      <c r="F2028" s="6">
        <f t="shared" si="67"/>
        <v>0</v>
      </c>
    </row>
    <row r="2029" spans="1:6" x14ac:dyDescent="0.3">
      <c r="A2029" s="4"/>
      <c r="B2029" s="1"/>
      <c r="C2029" s="2"/>
      <c r="D2029" s="2"/>
      <c r="E2029" s="5">
        <f t="shared" si="66"/>
        <v>0</v>
      </c>
      <c r="F2029" s="6">
        <f t="shared" si="67"/>
        <v>0</v>
      </c>
    </row>
    <row r="2030" spans="1:6" x14ac:dyDescent="0.3">
      <c r="A2030" s="4"/>
      <c r="B2030" s="1"/>
      <c r="C2030" s="2"/>
      <c r="D2030" s="2"/>
      <c r="E2030" s="5">
        <f t="shared" si="66"/>
        <v>0</v>
      </c>
      <c r="F2030" s="6">
        <f t="shared" si="67"/>
        <v>0</v>
      </c>
    </row>
    <row r="2031" spans="1:6" x14ac:dyDescent="0.3">
      <c r="A2031" s="4"/>
      <c r="B2031" s="1"/>
      <c r="C2031" s="2"/>
      <c r="D2031" s="2"/>
      <c r="E2031" s="5">
        <f t="shared" si="66"/>
        <v>0</v>
      </c>
      <c r="F2031" s="6">
        <f t="shared" si="67"/>
        <v>0</v>
      </c>
    </row>
    <row r="2032" spans="1:6" x14ac:dyDescent="0.3">
      <c r="A2032" s="4"/>
      <c r="B2032" s="1"/>
      <c r="C2032" s="2"/>
      <c r="D2032" s="2"/>
      <c r="E2032" s="5">
        <f t="shared" si="66"/>
        <v>0</v>
      </c>
      <c r="F2032" s="6">
        <f t="shared" si="67"/>
        <v>0</v>
      </c>
    </row>
    <row r="2033" spans="1:6" x14ac:dyDescent="0.3">
      <c r="A2033" s="4"/>
      <c r="B2033" s="1"/>
      <c r="C2033" s="2"/>
      <c r="D2033" s="2"/>
      <c r="E2033" s="5">
        <f t="shared" si="66"/>
        <v>0</v>
      </c>
      <c r="F2033" s="6">
        <f t="shared" si="67"/>
        <v>0</v>
      </c>
    </row>
    <row r="2034" spans="1:6" x14ac:dyDescent="0.3">
      <c r="A2034" s="4"/>
      <c r="B2034" s="1"/>
      <c r="C2034" s="2"/>
      <c r="D2034" s="2"/>
      <c r="E2034" s="5">
        <f t="shared" si="66"/>
        <v>0</v>
      </c>
      <c r="F2034" s="6">
        <f t="shared" si="67"/>
        <v>0</v>
      </c>
    </row>
    <row r="2035" spans="1:6" x14ac:dyDescent="0.3">
      <c r="A2035" s="4"/>
      <c r="B2035" s="1"/>
      <c r="C2035" s="2"/>
      <c r="D2035" s="2"/>
      <c r="E2035" s="5">
        <f t="shared" si="66"/>
        <v>0</v>
      </c>
      <c r="F2035" s="6">
        <f t="shared" si="67"/>
        <v>0</v>
      </c>
    </row>
    <row r="2036" spans="1:6" x14ac:dyDescent="0.3">
      <c r="A2036" s="4"/>
      <c r="B2036" s="1"/>
      <c r="C2036" s="2"/>
      <c r="D2036" s="2"/>
      <c r="E2036" s="5">
        <f t="shared" si="66"/>
        <v>0</v>
      </c>
      <c r="F2036" s="6">
        <f t="shared" si="67"/>
        <v>0</v>
      </c>
    </row>
    <row r="2037" spans="1:6" x14ac:dyDescent="0.3">
      <c r="A2037" s="4"/>
      <c r="B2037" s="1"/>
      <c r="C2037" s="2"/>
      <c r="D2037" s="2"/>
      <c r="E2037" s="5">
        <f t="shared" si="66"/>
        <v>0</v>
      </c>
      <c r="F2037" s="6">
        <f t="shared" si="67"/>
        <v>0</v>
      </c>
    </row>
    <row r="2038" spans="1:6" x14ac:dyDescent="0.3">
      <c r="A2038" s="4"/>
      <c r="B2038" s="1"/>
      <c r="C2038" s="2"/>
      <c r="D2038" s="2"/>
      <c r="E2038" s="5">
        <f t="shared" si="66"/>
        <v>0</v>
      </c>
      <c r="F2038" s="6">
        <f t="shared" si="67"/>
        <v>0</v>
      </c>
    </row>
    <row r="2039" spans="1:6" x14ac:dyDescent="0.3">
      <c r="A2039" s="4"/>
      <c r="B2039" s="1"/>
      <c r="C2039" s="2"/>
      <c r="D2039" s="2"/>
      <c r="E2039" s="5">
        <f t="shared" si="66"/>
        <v>0</v>
      </c>
      <c r="F2039" s="6">
        <f t="shared" si="67"/>
        <v>0</v>
      </c>
    </row>
    <row r="2040" spans="1:6" x14ac:dyDescent="0.3">
      <c r="A2040" s="4"/>
      <c r="B2040" s="1"/>
      <c r="C2040" s="2"/>
      <c r="D2040" s="2"/>
      <c r="E2040" s="5">
        <f t="shared" si="66"/>
        <v>0</v>
      </c>
      <c r="F2040" s="6">
        <f t="shared" si="67"/>
        <v>0</v>
      </c>
    </row>
    <row r="2041" spans="1:6" x14ac:dyDescent="0.3">
      <c r="A2041" s="4"/>
      <c r="B2041" s="1"/>
      <c r="C2041" s="2"/>
      <c r="D2041" s="2"/>
      <c r="E2041" s="5">
        <f t="shared" si="66"/>
        <v>0</v>
      </c>
      <c r="F2041" s="6">
        <f t="shared" si="67"/>
        <v>0</v>
      </c>
    </row>
    <row r="2042" spans="1:6" x14ac:dyDescent="0.3">
      <c r="A2042" s="4"/>
      <c r="B2042" s="1"/>
      <c r="C2042" s="2"/>
      <c r="D2042" s="2"/>
      <c r="E2042" s="5">
        <f t="shared" si="66"/>
        <v>0</v>
      </c>
      <c r="F2042" s="6">
        <f t="shared" si="67"/>
        <v>0</v>
      </c>
    </row>
    <row r="2043" spans="1:6" x14ac:dyDescent="0.3">
      <c r="A2043" s="4"/>
      <c r="B2043" s="1"/>
      <c r="C2043" s="2"/>
      <c r="D2043" s="2"/>
      <c r="E2043" s="5">
        <f t="shared" si="66"/>
        <v>0</v>
      </c>
      <c r="F2043" s="6">
        <f t="shared" si="67"/>
        <v>0</v>
      </c>
    </row>
    <row r="2044" spans="1:6" x14ac:dyDescent="0.3">
      <c r="A2044" s="4"/>
      <c r="B2044" s="1"/>
      <c r="C2044" s="2"/>
      <c r="D2044" s="2"/>
      <c r="E2044" s="5">
        <f t="shared" si="66"/>
        <v>0</v>
      </c>
      <c r="F2044" s="6">
        <f t="shared" si="67"/>
        <v>0</v>
      </c>
    </row>
    <row r="2045" spans="1:6" x14ac:dyDescent="0.3">
      <c r="A2045" s="4"/>
      <c r="B2045" s="1"/>
      <c r="C2045" s="2"/>
      <c r="D2045" s="2"/>
      <c r="E2045" s="5">
        <f t="shared" si="66"/>
        <v>0</v>
      </c>
      <c r="F2045" s="6">
        <f t="shared" si="67"/>
        <v>0</v>
      </c>
    </row>
    <row r="2046" spans="1:6" x14ac:dyDescent="0.3">
      <c r="A2046" s="4"/>
      <c r="B2046" s="1"/>
      <c r="C2046" s="2"/>
      <c r="D2046" s="2"/>
      <c r="E2046" s="5">
        <f t="shared" si="66"/>
        <v>0</v>
      </c>
      <c r="F2046" s="6">
        <f t="shared" si="67"/>
        <v>0</v>
      </c>
    </row>
    <row r="2047" spans="1:6" x14ac:dyDescent="0.3">
      <c r="A2047" s="4"/>
      <c r="B2047" s="1"/>
      <c r="C2047" s="2"/>
      <c r="D2047" s="2"/>
      <c r="E2047" s="5">
        <f t="shared" si="66"/>
        <v>0</v>
      </c>
      <c r="F2047" s="6">
        <f t="shared" si="67"/>
        <v>0</v>
      </c>
    </row>
    <row r="2048" spans="1:6" x14ac:dyDescent="0.3">
      <c r="A2048" s="4"/>
      <c r="B2048" s="1"/>
      <c r="C2048" s="2"/>
      <c r="D2048" s="2"/>
      <c r="E2048" s="5">
        <f t="shared" si="66"/>
        <v>0</v>
      </c>
      <c r="F2048" s="6">
        <f t="shared" si="67"/>
        <v>0</v>
      </c>
    </row>
    <row r="2049" spans="1:6" x14ac:dyDescent="0.3">
      <c r="A2049" s="4"/>
      <c r="B2049" s="1"/>
      <c r="C2049" s="2"/>
      <c r="D2049" s="2"/>
      <c r="E2049" s="5">
        <f t="shared" si="66"/>
        <v>0</v>
      </c>
      <c r="F2049" s="6">
        <f t="shared" si="67"/>
        <v>0</v>
      </c>
    </row>
    <row r="2050" spans="1:6" x14ac:dyDescent="0.3">
      <c r="A2050" s="4"/>
      <c r="B2050" s="1"/>
      <c r="C2050" s="2"/>
      <c r="D2050" s="2"/>
      <c r="E2050" s="5">
        <f t="shared" si="66"/>
        <v>0</v>
      </c>
      <c r="F2050" s="6">
        <f t="shared" si="67"/>
        <v>0</v>
      </c>
    </row>
    <row r="2051" spans="1:6" x14ac:dyDescent="0.3">
      <c r="A2051" s="4"/>
      <c r="B2051" s="1"/>
      <c r="C2051" s="2"/>
      <c r="D2051" s="2"/>
      <c r="E2051" s="5">
        <f t="shared" ref="E2051:E2114" si="68">D2051-C2051</f>
        <v>0</v>
      </c>
      <c r="F2051" s="6">
        <f t="shared" ref="F2051:F2114" si="69">ROUND(VALUE(E2051)*4,2)</f>
        <v>0</v>
      </c>
    </row>
    <row r="2052" spans="1:6" x14ac:dyDescent="0.3">
      <c r="A2052" s="4"/>
      <c r="B2052" s="1"/>
      <c r="C2052" s="2"/>
      <c r="D2052" s="2"/>
      <c r="E2052" s="5">
        <f t="shared" si="68"/>
        <v>0</v>
      </c>
      <c r="F2052" s="6">
        <f t="shared" si="69"/>
        <v>0</v>
      </c>
    </row>
    <row r="2053" spans="1:6" x14ac:dyDescent="0.3">
      <c r="A2053" s="4"/>
      <c r="B2053" s="1"/>
      <c r="C2053" s="2"/>
      <c r="D2053" s="2"/>
      <c r="E2053" s="5">
        <f t="shared" si="68"/>
        <v>0</v>
      </c>
      <c r="F2053" s="6">
        <f t="shared" si="69"/>
        <v>0</v>
      </c>
    </row>
    <row r="2054" spans="1:6" x14ac:dyDescent="0.3">
      <c r="A2054" s="4"/>
      <c r="B2054" s="1"/>
      <c r="C2054" s="2"/>
      <c r="D2054" s="2"/>
      <c r="E2054" s="5">
        <f t="shared" si="68"/>
        <v>0</v>
      </c>
      <c r="F2054" s="6">
        <f t="shared" si="69"/>
        <v>0</v>
      </c>
    </row>
    <row r="2055" spans="1:6" x14ac:dyDescent="0.3">
      <c r="A2055" s="4"/>
      <c r="B2055" s="1"/>
      <c r="C2055" s="2"/>
      <c r="D2055" s="2"/>
      <c r="E2055" s="5">
        <f t="shared" si="68"/>
        <v>0</v>
      </c>
      <c r="F2055" s="6">
        <f t="shared" si="69"/>
        <v>0</v>
      </c>
    </row>
    <row r="2056" spans="1:6" x14ac:dyDescent="0.3">
      <c r="A2056" s="4"/>
      <c r="B2056" s="1"/>
      <c r="C2056" s="2"/>
      <c r="D2056" s="2"/>
      <c r="E2056" s="5">
        <f t="shared" si="68"/>
        <v>0</v>
      </c>
      <c r="F2056" s="6">
        <f t="shared" si="69"/>
        <v>0</v>
      </c>
    </row>
    <row r="2057" spans="1:6" x14ac:dyDescent="0.3">
      <c r="A2057" s="4"/>
      <c r="B2057" s="1"/>
      <c r="C2057" s="2"/>
      <c r="D2057" s="2"/>
      <c r="E2057" s="5">
        <f t="shared" si="68"/>
        <v>0</v>
      </c>
      <c r="F2057" s="6">
        <f t="shared" si="69"/>
        <v>0</v>
      </c>
    </row>
    <row r="2058" spans="1:6" x14ac:dyDescent="0.3">
      <c r="A2058" s="4"/>
      <c r="B2058" s="1"/>
      <c r="C2058" s="2"/>
      <c r="D2058" s="2"/>
      <c r="E2058" s="5">
        <f t="shared" si="68"/>
        <v>0</v>
      </c>
      <c r="F2058" s="6">
        <f t="shared" si="69"/>
        <v>0</v>
      </c>
    </row>
    <row r="2059" spans="1:6" x14ac:dyDescent="0.3">
      <c r="A2059" s="4"/>
      <c r="B2059" s="1"/>
      <c r="C2059" s="2"/>
      <c r="D2059" s="2"/>
      <c r="E2059" s="5">
        <f t="shared" si="68"/>
        <v>0</v>
      </c>
      <c r="F2059" s="6">
        <f t="shared" si="69"/>
        <v>0</v>
      </c>
    </row>
    <row r="2060" spans="1:6" x14ac:dyDescent="0.3">
      <c r="A2060" s="4"/>
      <c r="B2060" s="1"/>
      <c r="C2060" s="2"/>
      <c r="D2060" s="2"/>
      <c r="E2060" s="5">
        <f t="shared" si="68"/>
        <v>0</v>
      </c>
      <c r="F2060" s="6">
        <f t="shared" si="69"/>
        <v>0</v>
      </c>
    </row>
    <row r="2061" spans="1:6" x14ac:dyDescent="0.3">
      <c r="A2061" s="4"/>
      <c r="B2061" s="1"/>
      <c r="C2061" s="2"/>
      <c r="D2061" s="2"/>
      <c r="E2061" s="5">
        <f t="shared" si="68"/>
        <v>0</v>
      </c>
      <c r="F2061" s="6">
        <f t="shared" si="69"/>
        <v>0</v>
      </c>
    </row>
    <row r="2062" spans="1:6" x14ac:dyDescent="0.3">
      <c r="A2062" s="4"/>
      <c r="B2062" s="1"/>
      <c r="C2062" s="2"/>
      <c r="D2062" s="2"/>
      <c r="E2062" s="5">
        <f t="shared" si="68"/>
        <v>0</v>
      </c>
      <c r="F2062" s="6">
        <f t="shared" si="69"/>
        <v>0</v>
      </c>
    </row>
    <row r="2063" spans="1:6" x14ac:dyDescent="0.3">
      <c r="A2063" s="4"/>
      <c r="B2063" s="1"/>
      <c r="C2063" s="2"/>
      <c r="D2063" s="2"/>
      <c r="E2063" s="5">
        <f t="shared" si="68"/>
        <v>0</v>
      </c>
      <c r="F2063" s="6">
        <f t="shared" si="69"/>
        <v>0</v>
      </c>
    </row>
    <row r="2064" spans="1:6" x14ac:dyDescent="0.3">
      <c r="A2064" s="4"/>
      <c r="B2064" s="1"/>
      <c r="C2064" s="2"/>
      <c r="D2064" s="2"/>
      <c r="E2064" s="5">
        <f t="shared" si="68"/>
        <v>0</v>
      </c>
      <c r="F2064" s="6">
        <f t="shared" si="69"/>
        <v>0</v>
      </c>
    </row>
    <row r="2065" spans="1:6" x14ac:dyDescent="0.3">
      <c r="A2065" s="4"/>
      <c r="B2065" s="1"/>
      <c r="C2065" s="2"/>
      <c r="D2065" s="2"/>
      <c r="E2065" s="5">
        <f t="shared" si="68"/>
        <v>0</v>
      </c>
      <c r="F2065" s="6">
        <f t="shared" si="69"/>
        <v>0</v>
      </c>
    </row>
    <row r="2066" spans="1:6" x14ac:dyDescent="0.3">
      <c r="A2066" s="4"/>
      <c r="B2066" s="1"/>
      <c r="C2066" s="2"/>
      <c r="D2066" s="2"/>
      <c r="E2066" s="5">
        <f t="shared" si="68"/>
        <v>0</v>
      </c>
      <c r="F2066" s="6">
        <f t="shared" si="69"/>
        <v>0</v>
      </c>
    </row>
    <row r="2067" spans="1:6" x14ac:dyDescent="0.3">
      <c r="A2067" s="4"/>
      <c r="B2067" s="1"/>
      <c r="C2067" s="2"/>
      <c r="D2067" s="2"/>
      <c r="E2067" s="5">
        <f t="shared" si="68"/>
        <v>0</v>
      </c>
      <c r="F2067" s="6">
        <f t="shared" si="69"/>
        <v>0</v>
      </c>
    </row>
    <row r="2068" spans="1:6" x14ac:dyDescent="0.3">
      <c r="A2068" s="4"/>
      <c r="B2068" s="1"/>
      <c r="C2068" s="2"/>
      <c r="D2068" s="2"/>
      <c r="E2068" s="5">
        <f t="shared" si="68"/>
        <v>0</v>
      </c>
      <c r="F2068" s="6">
        <f t="shared" si="69"/>
        <v>0</v>
      </c>
    </row>
    <row r="2069" spans="1:6" x14ac:dyDescent="0.3">
      <c r="A2069" s="4"/>
      <c r="B2069" s="1"/>
      <c r="C2069" s="2"/>
      <c r="D2069" s="2"/>
      <c r="E2069" s="5">
        <f t="shared" si="68"/>
        <v>0</v>
      </c>
      <c r="F2069" s="6">
        <f t="shared" si="69"/>
        <v>0</v>
      </c>
    </row>
    <row r="2070" spans="1:6" x14ac:dyDescent="0.3">
      <c r="A2070" s="4"/>
      <c r="B2070" s="1"/>
      <c r="C2070" s="2"/>
      <c r="D2070" s="2"/>
      <c r="E2070" s="5">
        <f t="shared" si="68"/>
        <v>0</v>
      </c>
      <c r="F2070" s="6">
        <f t="shared" si="69"/>
        <v>0</v>
      </c>
    </row>
    <row r="2071" spans="1:6" x14ac:dyDescent="0.3">
      <c r="A2071" s="4"/>
      <c r="B2071" s="1"/>
      <c r="C2071" s="2"/>
      <c r="D2071" s="2"/>
      <c r="E2071" s="5">
        <f t="shared" si="68"/>
        <v>0</v>
      </c>
      <c r="F2071" s="6">
        <f t="shared" si="69"/>
        <v>0</v>
      </c>
    </row>
    <row r="2072" spans="1:6" x14ac:dyDescent="0.3">
      <c r="A2072" s="4"/>
      <c r="B2072" s="1"/>
      <c r="C2072" s="2"/>
      <c r="D2072" s="2"/>
      <c r="E2072" s="5">
        <f t="shared" si="68"/>
        <v>0</v>
      </c>
      <c r="F2072" s="6">
        <f t="shared" si="69"/>
        <v>0</v>
      </c>
    </row>
    <row r="2073" spans="1:6" x14ac:dyDescent="0.3">
      <c r="A2073" s="4"/>
      <c r="B2073" s="1"/>
      <c r="C2073" s="2"/>
      <c r="D2073" s="2"/>
      <c r="E2073" s="5">
        <f t="shared" si="68"/>
        <v>0</v>
      </c>
      <c r="F2073" s="6">
        <f t="shared" si="69"/>
        <v>0</v>
      </c>
    </row>
    <row r="2074" spans="1:6" x14ac:dyDescent="0.3">
      <c r="A2074" s="4"/>
      <c r="B2074" s="1"/>
      <c r="C2074" s="2"/>
      <c r="D2074" s="2"/>
      <c r="E2074" s="5">
        <f t="shared" si="68"/>
        <v>0</v>
      </c>
      <c r="F2074" s="6">
        <f t="shared" si="69"/>
        <v>0</v>
      </c>
    </row>
    <row r="2075" spans="1:6" x14ac:dyDescent="0.3">
      <c r="A2075" s="4"/>
      <c r="B2075" s="1"/>
      <c r="C2075" s="2"/>
      <c r="D2075" s="2"/>
      <c r="E2075" s="5">
        <f t="shared" si="68"/>
        <v>0</v>
      </c>
      <c r="F2075" s="6">
        <f t="shared" si="69"/>
        <v>0</v>
      </c>
    </row>
    <row r="2076" spans="1:6" x14ac:dyDescent="0.3">
      <c r="A2076" s="4"/>
      <c r="B2076" s="1"/>
      <c r="C2076" s="2"/>
      <c r="D2076" s="2"/>
      <c r="E2076" s="5">
        <f t="shared" si="68"/>
        <v>0</v>
      </c>
      <c r="F2076" s="6">
        <f t="shared" si="69"/>
        <v>0</v>
      </c>
    </row>
    <row r="2077" spans="1:6" x14ac:dyDescent="0.3">
      <c r="A2077" s="4"/>
      <c r="B2077" s="1"/>
      <c r="C2077" s="2"/>
      <c r="D2077" s="2"/>
      <c r="E2077" s="5">
        <f t="shared" si="68"/>
        <v>0</v>
      </c>
      <c r="F2077" s="6">
        <f t="shared" si="69"/>
        <v>0</v>
      </c>
    </row>
    <row r="2078" spans="1:6" x14ac:dyDescent="0.3">
      <c r="A2078" s="4"/>
      <c r="B2078" s="1"/>
      <c r="C2078" s="2"/>
      <c r="D2078" s="2"/>
      <c r="E2078" s="5">
        <f t="shared" si="68"/>
        <v>0</v>
      </c>
      <c r="F2078" s="6">
        <f t="shared" si="69"/>
        <v>0</v>
      </c>
    </row>
    <row r="2079" spans="1:6" x14ac:dyDescent="0.3">
      <c r="A2079" s="4"/>
      <c r="B2079" s="1"/>
      <c r="C2079" s="2"/>
      <c r="D2079" s="2"/>
      <c r="E2079" s="5">
        <f t="shared" si="68"/>
        <v>0</v>
      </c>
      <c r="F2079" s="6">
        <f t="shared" si="69"/>
        <v>0</v>
      </c>
    </row>
    <row r="2080" spans="1:6" x14ac:dyDescent="0.3">
      <c r="A2080" s="4"/>
      <c r="B2080" s="1"/>
      <c r="C2080" s="2"/>
      <c r="D2080" s="2"/>
      <c r="E2080" s="5">
        <f t="shared" si="68"/>
        <v>0</v>
      </c>
      <c r="F2080" s="6">
        <f t="shared" si="69"/>
        <v>0</v>
      </c>
    </row>
    <row r="2081" spans="1:6" x14ac:dyDescent="0.3">
      <c r="A2081" s="4"/>
      <c r="B2081" s="1"/>
      <c r="C2081" s="2"/>
      <c r="D2081" s="2"/>
      <c r="E2081" s="5">
        <f t="shared" si="68"/>
        <v>0</v>
      </c>
      <c r="F2081" s="6">
        <f t="shared" si="69"/>
        <v>0</v>
      </c>
    </row>
    <row r="2082" spans="1:6" x14ac:dyDescent="0.3">
      <c r="A2082" s="4"/>
      <c r="B2082" s="1"/>
      <c r="C2082" s="2"/>
      <c r="D2082" s="2"/>
      <c r="E2082" s="5">
        <f t="shared" si="68"/>
        <v>0</v>
      </c>
      <c r="F2082" s="6">
        <f t="shared" si="69"/>
        <v>0</v>
      </c>
    </row>
    <row r="2083" spans="1:6" x14ac:dyDescent="0.3">
      <c r="A2083" s="4"/>
      <c r="B2083" s="1"/>
      <c r="C2083" s="2"/>
      <c r="D2083" s="2"/>
      <c r="E2083" s="5">
        <f t="shared" si="68"/>
        <v>0</v>
      </c>
      <c r="F2083" s="6">
        <f t="shared" si="69"/>
        <v>0</v>
      </c>
    </row>
    <row r="2084" spans="1:6" x14ac:dyDescent="0.3">
      <c r="A2084" s="4"/>
      <c r="B2084" s="1"/>
      <c r="C2084" s="2"/>
      <c r="D2084" s="2"/>
      <c r="E2084" s="5">
        <f t="shared" si="68"/>
        <v>0</v>
      </c>
      <c r="F2084" s="6">
        <f t="shared" si="69"/>
        <v>0</v>
      </c>
    </row>
    <row r="2085" spans="1:6" x14ac:dyDescent="0.3">
      <c r="A2085" s="4"/>
      <c r="B2085" s="1"/>
      <c r="C2085" s="2"/>
      <c r="D2085" s="2"/>
      <c r="E2085" s="5">
        <f t="shared" si="68"/>
        <v>0</v>
      </c>
      <c r="F2085" s="6">
        <f t="shared" si="69"/>
        <v>0</v>
      </c>
    </row>
    <row r="2086" spans="1:6" x14ac:dyDescent="0.3">
      <c r="A2086" s="4"/>
      <c r="B2086" s="1"/>
      <c r="C2086" s="2"/>
      <c r="D2086" s="2"/>
      <c r="E2086" s="5">
        <f t="shared" si="68"/>
        <v>0</v>
      </c>
      <c r="F2086" s="6">
        <f t="shared" si="69"/>
        <v>0</v>
      </c>
    </row>
    <row r="2087" spans="1:6" x14ac:dyDescent="0.3">
      <c r="A2087" s="4"/>
      <c r="B2087" s="1"/>
      <c r="C2087" s="2"/>
      <c r="D2087" s="2"/>
      <c r="E2087" s="5">
        <f t="shared" si="68"/>
        <v>0</v>
      </c>
      <c r="F2087" s="6">
        <f t="shared" si="69"/>
        <v>0</v>
      </c>
    </row>
    <row r="2088" spans="1:6" x14ac:dyDescent="0.3">
      <c r="A2088" s="4"/>
      <c r="B2088" s="1"/>
      <c r="C2088" s="2"/>
      <c r="D2088" s="2"/>
      <c r="E2088" s="5">
        <f t="shared" si="68"/>
        <v>0</v>
      </c>
      <c r="F2088" s="6">
        <f t="shared" si="69"/>
        <v>0</v>
      </c>
    </row>
    <row r="2089" spans="1:6" x14ac:dyDescent="0.3">
      <c r="A2089" s="4"/>
      <c r="B2089" s="1"/>
      <c r="C2089" s="2"/>
      <c r="D2089" s="2"/>
      <c r="E2089" s="5">
        <f t="shared" si="68"/>
        <v>0</v>
      </c>
      <c r="F2089" s="6">
        <f t="shared" si="69"/>
        <v>0</v>
      </c>
    </row>
    <row r="2090" spans="1:6" x14ac:dyDescent="0.3">
      <c r="A2090" s="4"/>
      <c r="B2090" s="1"/>
      <c r="C2090" s="2"/>
      <c r="D2090" s="2"/>
      <c r="E2090" s="5">
        <f t="shared" si="68"/>
        <v>0</v>
      </c>
      <c r="F2090" s="6">
        <f t="shared" si="69"/>
        <v>0</v>
      </c>
    </row>
    <row r="2091" spans="1:6" x14ac:dyDescent="0.3">
      <c r="A2091" s="4"/>
      <c r="B2091" s="1"/>
      <c r="C2091" s="2"/>
      <c r="D2091" s="2"/>
      <c r="E2091" s="5">
        <f t="shared" si="68"/>
        <v>0</v>
      </c>
      <c r="F2091" s="6">
        <f t="shared" si="69"/>
        <v>0</v>
      </c>
    </row>
    <row r="2092" spans="1:6" x14ac:dyDescent="0.3">
      <c r="A2092" s="4"/>
      <c r="B2092" s="1"/>
      <c r="C2092" s="2"/>
      <c r="D2092" s="2"/>
      <c r="E2092" s="5">
        <f t="shared" si="68"/>
        <v>0</v>
      </c>
      <c r="F2092" s="6">
        <f t="shared" si="69"/>
        <v>0</v>
      </c>
    </row>
    <row r="2093" spans="1:6" x14ac:dyDescent="0.3">
      <c r="A2093" s="4"/>
      <c r="B2093" s="1"/>
      <c r="C2093" s="2"/>
      <c r="D2093" s="2"/>
      <c r="E2093" s="5">
        <f t="shared" si="68"/>
        <v>0</v>
      </c>
      <c r="F2093" s="6">
        <f t="shared" si="69"/>
        <v>0</v>
      </c>
    </row>
    <row r="2094" spans="1:6" x14ac:dyDescent="0.3">
      <c r="A2094" s="4"/>
      <c r="B2094" s="1"/>
      <c r="C2094" s="2"/>
      <c r="D2094" s="2"/>
      <c r="E2094" s="5">
        <f t="shared" si="68"/>
        <v>0</v>
      </c>
      <c r="F2094" s="6">
        <f t="shared" si="69"/>
        <v>0</v>
      </c>
    </row>
    <row r="2095" spans="1:6" x14ac:dyDescent="0.3">
      <c r="A2095" s="4"/>
      <c r="B2095" s="1"/>
      <c r="C2095" s="2"/>
      <c r="D2095" s="2"/>
      <c r="E2095" s="5">
        <f t="shared" si="68"/>
        <v>0</v>
      </c>
      <c r="F2095" s="6">
        <f t="shared" si="69"/>
        <v>0</v>
      </c>
    </row>
    <row r="2096" spans="1:6" x14ac:dyDescent="0.3">
      <c r="A2096" s="4"/>
      <c r="B2096" s="1"/>
      <c r="C2096" s="2"/>
      <c r="D2096" s="2"/>
      <c r="E2096" s="5">
        <f t="shared" si="68"/>
        <v>0</v>
      </c>
      <c r="F2096" s="6">
        <f t="shared" si="69"/>
        <v>0</v>
      </c>
    </row>
    <row r="2097" spans="1:6" x14ac:dyDescent="0.3">
      <c r="A2097" s="4"/>
      <c r="B2097" s="1"/>
      <c r="C2097" s="2"/>
      <c r="D2097" s="2"/>
      <c r="E2097" s="5">
        <f t="shared" si="68"/>
        <v>0</v>
      </c>
      <c r="F2097" s="6">
        <f t="shared" si="69"/>
        <v>0</v>
      </c>
    </row>
    <row r="2098" spans="1:6" x14ac:dyDescent="0.3">
      <c r="A2098" s="4"/>
      <c r="B2098" s="1"/>
      <c r="C2098" s="2"/>
      <c r="D2098" s="2"/>
      <c r="E2098" s="5">
        <f t="shared" si="68"/>
        <v>0</v>
      </c>
      <c r="F2098" s="6">
        <f t="shared" si="69"/>
        <v>0</v>
      </c>
    </row>
    <row r="2099" spans="1:6" x14ac:dyDescent="0.3">
      <c r="A2099" s="4"/>
      <c r="B2099" s="1"/>
      <c r="C2099" s="2"/>
      <c r="D2099" s="2"/>
      <c r="E2099" s="5">
        <f t="shared" si="68"/>
        <v>0</v>
      </c>
      <c r="F2099" s="6">
        <f t="shared" si="69"/>
        <v>0</v>
      </c>
    </row>
    <row r="2100" spans="1:6" x14ac:dyDescent="0.3">
      <c r="A2100" s="4"/>
      <c r="B2100" s="1"/>
      <c r="C2100" s="2"/>
      <c r="D2100" s="2"/>
      <c r="E2100" s="5">
        <f t="shared" si="68"/>
        <v>0</v>
      </c>
      <c r="F2100" s="6">
        <f t="shared" si="69"/>
        <v>0</v>
      </c>
    </row>
    <row r="2101" spans="1:6" x14ac:dyDescent="0.3">
      <c r="A2101" s="4"/>
      <c r="B2101" s="1"/>
      <c r="C2101" s="2"/>
      <c r="D2101" s="2"/>
      <c r="E2101" s="5">
        <f t="shared" si="68"/>
        <v>0</v>
      </c>
      <c r="F2101" s="6">
        <f t="shared" si="69"/>
        <v>0</v>
      </c>
    </row>
    <row r="2102" spans="1:6" x14ac:dyDescent="0.3">
      <c r="A2102" s="4"/>
      <c r="B2102" s="1"/>
      <c r="C2102" s="2"/>
      <c r="D2102" s="2"/>
      <c r="E2102" s="5">
        <f t="shared" si="68"/>
        <v>0</v>
      </c>
      <c r="F2102" s="6">
        <f t="shared" si="69"/>
        <v>0</v>
      </c>
    </row>
    <row r="2103" spans="1:6" x14ac:dyDescent="0.3">
      <c r="A2103" s="4"/>
      <c r="B2103" s="1"/>
      <c r="C2103" s="2"/>
      <c r="D2103" s="2"/>
      <c r="E2103" s="5">
        <f t="shared" si="68"/>
        <v>0</v>
      </c>
      <c r="F2103" s="6">
        <f t="shared" si="69"/>
        <v>0</v>
      </c>
    </row>
    <row r="2104" spans="1:6" x14ac:dyDescent="0.3">
      <c r="A2104" s="4"/>
      <c r="B2104" s="1"/>
      <c r="C2104" s="2"/>
      <c r="D2104" s="2"/>
      <c r="E2104" s="5">
        <f t="shared" si="68"/>
        <v>0</v>
      </c>
      <c r="F2104" s="6">
        <f t="shared" si="69"/>
        <v>0</v>
      </c>
    </row>
    <row r="2105" spans="1:6" x14ac:dyDescent="0.3">
      <c r="A2105" s="4"/>
      <c r="B2105" s="1"/>
      <c r="C2105" s="2"/>
      <c r="D2105" s="2"/>
      <c r="E2105" s="5">
        <f t="shared" si="68"/>
        <v>0</v>
      </c>
      <c r="F2105" s="6">
        <f t="shared" si="69"/>
        <v>0</v>
      </c>
    </row>
    <row r="2106" spans="1:6" x14ac:dyDescent="0.3">
      <c r="A2106" s="4"/>
      <c r="B2106" s="1"/>
      <c r="C2106" s="2"/>
      <c r="D2106" s="2"/>
      <c r="E2106" s="5">
        <f t="shared" si="68"/>
        <v>0</v>
      </c>
      <c r="F2106" s="6">
        <f t="shared" si="69"/>
        <v>0</v>
      </c>
    </row>
    <row r="2107" spans="1:6" x14ac:dyDescent="0.3">
      <c r="A2107" s="4"/>
      <c r="B2107" s="1"/>
      <c r="C2107" s="2"/>
      <c r="D2107" s="2"/>
      <c r="E2107" s="5">
        <f t="shared" si="68"/>
        <v>0</v>
      </c>
      <c r="F2107" s="6">
        <f t="shared" si="69"/>
        <v>0</v>
      </c>
    </row>
    <row r="2108" spans="1:6" x14ac:dyDescent="0.3">
      <c r="A2108" s="4"/>
      <c r="B2108" s="1"/>
      <c r="C2108" s="2"/>
      <c r="D2108" s="2"/>
      <c r="E2108" s="5">
        <f t="shared" si="68"/>
        <v>0</v>
      </c>
      <c r="F2108" s="6">
        <f t="shared" si="69"/>
        <v>0</v>
      </c>
    </row>
    <row r="2109" spans="1:6" x14ac:dyDescent="0.3">
      <c r="A2109" s="4"/>
      <c r="B2109" s="1"/>
      <c r="C2109" s="2"/>
      <c r="D2109" s="2"/>
      <c r="E2109" s="5">
        <f t="shared" si="68"/>
        <v>0</v>
      </c>
      <c r="F2109" s="6">
        <f t="shared" si="69"/>
        <v>0</v>
      </c>
    </row>
    <row r="2110" spans="1:6" x14ac:dyDescent="0.3">
      <c r="A2110" s="4"/>
      <c r="B2110" s="1"/>
      <c r="C2110" s="2"/>
      <c r="D2110" s="2"/>
      <c r="E2110" s="5">
        <f t="shared" si="68"/>
        <v>0</v>
      </c>
      <c r="F2110" s="6">
        <f t="shared" si="69"/>
        <v>0</v>
      </c>
    </row>
    <row r="2111" spans="1:6" x14ac:dyDescent="0.3">
      <c r="A2111" s="4"/>
      <c r="B2111" s="1"/>
      <c r="C2111" s="2"/>
      <c r="D2111" s="2"/>
      <c r="E2111" s="5">
        <f t="shared" si="68"/>
        <v>0</v>
      </c>
      <c r="F2111" s="6">
        <f t="shared" si="69"/>
        <v>0</v>
      </c>
    </row>
    <row r="2112" spans="1:6" x14ac:dyDescent="0.3">
      <c r="A2112" s="4"/>
      <c r="B2112" s="1"/>
      <c r="C2112" s="2"/>
      <c r="D2112" s="2"/>
      <c r="E2112" s="5">
        <f t="shared" si="68"/>
        <v>0</v>
      </c>
      <c r="F2112" s="6">
        <f t="shared" si="69"/>
        <v>0</v>
      </c>
    </row>
    <row r="2113" spans="1:6" x14ac:dyDescent="0.3">
      <c r="A2113" s="4"/>
      <c r="B2113" s="1"/>
      <c r="C2113" s="2"/>
      <c r="D2113" s="2"/>
      <c r="E2113" s="5">
        <f t="shared" si="68"/>
        <v>0</v>
      </c>
      <c r="F2113" s="6">
        <f t="shared" si="69"/>
        <v>0</v>
      </c>
    </row>
    <row r="2114" spans="1:6" x14ac:dyDescent="0.3">
      <c r="A2114" s="4"/>
      <c r="B2114" s="1"/>
      <c r="C2114" s="2"/>
      <c r="D2114" s="2"/>
      <c r="E2114" s="5">
        <f t="shared" si="68"/>
        <v>0</v>
      </c>
      <c r="F2114" s="6">
        <f t="shared" si="69"/>
        <v>0</v>
      </c>
    </row>
    <row r="2115" spans="1:6" x14ac:dyDescent="0.3">
      <c r="A2115" s="4"/>
      <c r="B2115" s="1"/>
      <c r="C2115" s="2"/>
      <c r="D2115" s="2"/>
      <c r="E2115" s="5">
        <f t="shared" ref="E2115:E2178" si="70">D2115-C2115</f>
        <v>0</v>
      </c>
      <c r="F2115" s="6">
        <f t="shared" ref="F2115:F2178" si="71">ROUND(VALUE(E2115)*4,2)</f>
        <v>0</v>
      </c>
    </row>
    <row r="2116" spans="1:6" x14ac:dyDescent="0.3">
      <c r="A2116" s="4"/>
      <c r="B2116" s="1"/>
      <c r="C2116" s="2"/>
      <c r="D2116" s="2"/>
      <c r="E2116" s="5">
        <f t="shared" si="70"/>
        <v>0</v>
      </c>
      <c r="F2116" s="6">
        <f t="shared" si="71"/>
        <v>0</v>
      </c>
    </row>
    <row r="2117" spans="1:6" x14ac:dyDescent="0.3">
      <c r="A2117" s="4"/>
      <c r="B2117" s="1"/>
      <c r="C2117" s="2"/>
      <c r="D2117" s="2"/>
      <c r="E2117" s="5">
        <f t="shared" si="70"/>
        <v>0</v>
      </c>
      <c r="F2117" s="6">
        <f t="shared" si="71"/>
        <v>0</v>
      </c>
    </row>
    <row r="2118" spans="1:6" x14ac:dyDescent="0.3">
      <c r="A2118" s="4"/>
      <c r="B2118" s="1"/>
      <c r="C2118" s="2"/>
      <c r="D2118" s="2"/>
      <c r="E2118" s="5">
        <f t="shared" si="70"/>
        <v>0</v>
      </c>
      <c r="F2118" s="6">
        <f t="shared" si="71"/>
        <v>0</v>
      </c>
    </row>
    <row r="2119" spans="1:6" x14ac:dyDescent="0.3">
      <c r="A2119" s="4"/>
      <c r="B2119" s="1"/>
      <c r="C2119" s="2"/>
      <c r="D2119" s="2"/>
      <c r="E2119" s="5">
        <f t="shared" si="70"/>
        <v>0</v>
      </c>
      <c r="F2119" s="6">
        <f t="shared" si="71"/>
        <v>0</v>
      </c>
    </row>
    <row r="2120" spans="1:6" x14ac:dyDescent="0.3">
      <c r="A2120" s="4"/>
      <c r="B2120" s="1"/>
      <c r="C2120" s="2"/>
      <c r="D2120" s="2"/>
      <c r="E2120" s="5">
        <f t="shared" si="70"/>
        <v>0</v>
      </c>
      <c r="F2120" s="6">
        <f t="shared" si="71"/>
        <v>0</v>
      </c>
    </row>
    <row r="2121" spans="1:6" x14ac:dyDescent="0.3">
      <c r="A2121" s="4"/>
      <c r="B2121" s="1"/>
      <c r="C2121" s="2"/>
      <c r="D2121" s="2"/>
      <c r="E2121" s="5">
        <f t="shared" si="70"/>
        <v>0</v>
      </c>
      <c r="F2121" s="6">
        <f t="shared" si="71"/>
        <v>0</v>
      </c>
    </row>
    <row r="2122" spans="1:6" x14ac:dyDescent="0.3">
      <c r="A2122" s="4"/>
      <c r="B2122" s="1"/>
      <c r="C2122" s="2"/>
      <c r="D2122" s="2"/>
      <c r="E2122" s="5">
        <f t="shared" si="70"/>
        <v>0</v>
      </c>
      <c r="F2122" s="6">
        <f t="shared" si="71"/>
        <v>0</v>
      </c>
    </row>
    <row r="2123" spans="1:6" x14ac:dyDescent="0.3">
      <c r="A2123" s="4"/>
      <c r="B2123" s="1"/>
      <c r="C2123" s="2"/>
      <c r="D2123" s="2"/>
      <c r="E2123" s="5">
        <f t="shared" si="70"/>
        <v>0</v>
      </c>
      <c r="F2123" s="6">
        <f t="shared" si="71"/>
        <v>0</v>
      </c>
    </row>
    <row r="2124" spans="1:6" x14ac:dyDescent="0.3">
      <c r="A2124" s="4"/>
      <c r="B2124" s="1"/>
      <c r="C2124" s="2"/>
      <c r="D2124" s="2"/>
      <c r="E2124" s="5">
        <f t="shared" si="70"/>
        <v>0</v>
      </c>
      <c r="F2124" s="6">
        <f t="shared" si="71"/>
        <v>0</v>
      </c>
    </row>
    <row r="2125" spans="1:6" x14ac:dyDescent="0.3">
      <c r="A2125" s="4"/>
      <c r="B2125" s="1"/>
      <c r="C2125" s="2"/>
      <c r="D2125" s="2"/>
      <c r="E2125" s="5">
        <f t="shared" si="70"/>
        <v>0</v>
      </c>
      <c r="F2125" s="6">
        <f t="shared" si="71"/>
        <v>0</v>
      </c>
    </row>
    <row r="2126" spans="1:6" x14ac:dyDescent="0.3">
      <c r="A2126" s="4"/>
      <c r="B2126" s="1"/>
      <c r="C2126" s="2"/>
      <c r="D2126" s="2"/>
      <c r="E2126" s="5">
        <f t="shared" si="70"/>
        <v>0</v>
      </c>
      <c r="F2126" s="6">
        <f t="shared" si="71"/>
        <v>0</v>
      </c>
    </row>
    <row r="2127" spans="1:6" x14ac:dyDescent="0.3">
      <c r="A2127" s="4"/>
      <c r="B2127" s="1"/>
      <c r="C2127" s="2"/>
      <c r="D2127" s="2"/>
      <c r="E2127" s="5">
        <f t="shared" si="70"/>
        <v>0</v>
      </c>
      <c r="F2127" s="6">
        <f t="shared" si="71"/>
        <v>0</v>
      </c>
    </row>
    <row r="2128" spans="1:6" x14ac:dyDescent="0.3">
      <c r="A2128" s="4"/>
      <c r="B2128" s="1"/>
      <c r="C2128" s="2"/>
      <c r="D2128" s="2"/>
      <c r="E2128" s="5">
        <f t="shared" si="70"/>
        <v>0</v>
      </c>
      <c r="F2128" s="6">
        <f t="shared" si="71"/>
        <v>0</v>
      </c>
    </row>
    <row r="2129" spans="1:6" x14ac:dyDescent="0.3">
      <c r="A2129" s="4"/>
      <c r="B2129" s="1"/>
      <c r="C2129" s="2"/>
      <c r="D2129" s="2"/>
      <c r="E2129" s="5">
        <f t="shared" si="70"/>
        <v>0</v>
      </c>
      <c r="F2129" s="6">
        <f t="shared" si="71"/>
        <v>0</v>
      </c>
    </row>
    <row r="2130" spans="1:6" x14ac:dyDescent="0.3">
      <c r="A2130" s="4"/>
      <c r="B2130" s="1"/>
      <c r="C2130" s="2"/>
      <c r="D2130" s="2"/>
      <c r="E2130" s="5">
        <f t="shared" si="70"/>
        <v>0</v>
      </c>
      <c r="F2130" s="6">
        <f t="shared" si="71"/>
        <v>0</v>
      </c>
    </row>
    <row r="2131" spans="1:6" x14ac:dyDescent="0.3">
      <c r="A2131" s="4"/>
      <c r="B2131" s="1"/>
      <c r="C2131" s="2"/>
      <c r="D2131" s="2"/>
      <c r="E2131" s="5">
        <f t="shared" si="70"/>
        <v>0</v>
      </c>
      <c r="F2131" s="6">
        <f t="shared" si="71"/>
        <v>0</v>
      </c>
    </row>
    <row r="2132" spans="1:6" x14ac:dyDescent="0.3">
      <c r="A2132" s="4"/>
      <c r="B2132" s="1"/>
      <c r="C2132" s="2"/>
      <c r="D2132" s="2"/>
      <c r="E2132" s="5">
        <f t="shared" si="70"/>
        <v>0</v>
      </c>
      <c r="F2132" s="6">
        <f t="shared" si="71"/>
        <v>0</v>
      </c>
    </row>
    <row r="2133" spans="1:6" x14ac:dyDescent="0.3">
      <c r="A2133" s="4"/>
      <c r="B2133" s="1"/>
      <c r="C2133" s="2"/>
      <c r="D2133" s="2"/>
      <c r="E2133" s="5">
        <f t="shared" si="70"/>
        <v>0</v>
      </c>
      <c r="F2133" s="6">
        <f t="shared" si="71"/>
        <v>0</v>
      </c>
    </row>
    <row r="2134" spans="1:6" x14ac:dyDescent="0.3">
      <c r="A2134" s="4"/>
      <c r="B2134" s="1"/>
      <c r="C2134" s="2"/>
      <c r="D2134" s="2"/>
      <c r="E2134" s="5">
        <f t="shared" si="70"/>
        <v>0</v>
      </c>
      <c r="F2134" s="6">
        <f t="shared" si="71"/>
        <v>0</v>
      </c>
    </row>
    <row r="2135" spans="1:6" x14ac:dyDescent="0.3">
      <c r="A2135" s="4"/>
      <c r="B2135" s="1"/>
      <c r="C2135" s="2"/>
      <c r="D2135" s="2"/>
      <c r="E2135" s="5">
        <f t="shared" si="70"/>
        <v>0</v>
      </c>
      <c r="F2135" s="6">
        <f t="shared" si="71"/>
        <v>0</v>
      </c>
    </row>
    <row r="2136" spans="1:6" x14ac:dyDescent="0.3">
      <c r="A2136" s="4"/>
      <c r="B2136" s="1"/>
      <c r="C2136" s="2"/>
      <c r="D2136" s="2"/>
      <c r="E2136" s="5">
        <f t="shared" si="70"/>
        <v>0</v>
      </c>
      <c r="F2136" s="6">
        <f t="shared" si="71"/>
        <v>0</v>
      </c>
    </row>
    <row r="2137" spans="1:6" x14ac:dyDescent="0.3">
      <c r="A2137" s="4"/>
      <c r="B2137" s="1"/>
      <c r="C2137" s="2"/>
      <c r="D2137" s="2"/>
      <c r="E2137" s="5">
        <f t="shared" si="70"/>
        <v>0</v>
      </c>
      <c r="F2137" s="6">
        <f t="shared" si="71"/>
        <v>0</v>
      </c>
    </row>
    <row r="2138" spans="1:6" x14ac:dyDescent="0.3">
      <c r="A2138" s="4"/>
      <c r="B2138" s="1"/>
      <c r="C2138" s="2"/>
      <c r="D2138" s="2"/>
      <c r="E2138" s="5">
        <f t="shared" si="70"/>
        <v>0</v>
      </c>
      <c r="F2138" s="6">
        <f t="shared" si="71"/>
        <v>0</v>
      </c>
    </row>
    <row r="2139" spans="1:6" x14ac:dyDescent="0.3">
      <c r="A2139" s="4"/>
      <c r="B2139" s="1"/>
      <c r="C2139" s="2"/>
      <c r="D2139" s="2"/>
      <c r="E2139" s="5">
        <f t="shared" si="70"/>
        <v>0</v>
      </c>
      <c r="F2139" s="6">
        <f t="shared" si="71"/>
        <v>0</v>
      </c>
    </row>
    <row r="2140" spans="1:6" x14ac:dyDescent="0.3">
      <c r="A2140" s="4"/>
      <c r="B2140" s="1"/>
      <c r="C2140" s="2"/>
      <c r="D2140" s="2"/>
      <c r="E2140" s="5">
        <f t="shared" si="70"/>
        <v>0</v>
      </c>
      <c r="F2140" s="6">
        <f t="shared" si="71"/>
        <v>0</v>
      </c>
    </row>
    <row r="2141" spans="1:6" x14ac:dyDescent="0.3">
      <c r="A2141" s="4"/>
      <c r="B2141" s="1"/>
      <c r="C2141" s="2"/>
      <c r="D2141" s="2"/>
      <c r="E2141" s="5">
        <f t="shared" si="70"/>
        <v>0</v>
      </c>
      <c r="F2141" s="6">
        <f t="shared" si="71"/>
        <v>0</v>
      </c>
    </row>
    <row r="2142" spans="1:6" x14ac:dyDescent="0.3">
      <c r="A2142" s="4"/>
      <c r="B2142" s="1"/>
      <c r="C2142" s="2"/>
      <c r="D2142" s="2"/>
      <c r="E2142" s="5">
        <f t="shared" si="70"/>
        <v>0</v>
      </c>
      <c r="F2142" s="6">
        <f t="shared" si="71"/>
        <v>0</v>
      </c>
    </row>
    <row r="2143" spans="1:6" x14ac:dyDescent="0.3">
      <c r="A2143" s="4"/>
      <c r="B2143" s="1"/>
      <c r="C2143" s="2"/>
      <c r="D2143" s="2"/>
      <c r="E2143" s="5">
        <f t="shared" si="70"/>
        <v>0</v>
      </c>
      <c r="F2143" s="6">
        <f t="shared" si="71"/>
        <v>0</v>
      </c>
    </row>
    <row r="2144" spans="1:6" x14ac:dyDescent="0.3">
      <c r="A2144" s="4"/>
      <c r="B2144" s="1"/>
      <c r="C2144" s="2"/>
      <c r="D2144" s="2"/>
      <c r="E2144" s="5">
        <f t="shared" si="70"/>
        <v>0</v>
      </c>
      <c r="F2144" s="6">
        <f t="shared" si="71"/>
        <v>0</v>
      </c>
    </row>
    <row r="2145" spans="1:6" x14ac:dyDescent="0.3">
      <c r="A2145" s="4"/>
      <c r="B2145" s="1"/>
      <c r="C2145" s="2"/>
      <c r="D2145" s="2"/>
      <c r="E2145" s="5">
        <f t="shared" si="70"/>
        <v>0</v>
      </c>
      <c r="F2145" s="6">
        <f t="shared" si="71"/>
        <v>0</v>
      </c>
    </row>
    <row r="2146" spans="1:6" x14ac:dyDescent="0.3">
      <c r="A2146" s="4"/>
      <c r="B2146" s="1"/>
      <c r="C2146" s="2"/>
      <c r="D2146" s="2"/>
      <c r="E2146" s="5">
        <f t="shared" si="70"/>
        <v>0</v>
      </c>
      <c r="F2146" s="6">
        <f t="shared" si="71"/>
        <v>0</v>
      </c>
    </row>
    <row r="2147" spans="1:6" x14ac:dyDescent="0.3">
      <c r="A2147" s="4"/>
      <c r="B2147" s="1"/>
      <c r="C2147" s="2"/>
      <c r="D2147" s="2"/>
      <c r="E2147" s="5">
        <f t="shared" si="70"/>
        <v>0</v>
      </c>
      <c r="F2147" s="6">
        <f t="shared" si="71"/>
        <v>0</v>
      </c>
    </row>
    <row r="2148" spans="1:6" x14ac:dyDescent="0.3">
      <c r="A2148" s="4"/>
      <c r="B2148" s="1"/>
      <c r="C2148" s="2"/>
      <c r="D2148" s="2"/>
      <c r="E2148" s="5">
        <f t="shared" si="70"/>
        <v>0</v>
      </c>
      <c r="F2148" s="6">
        <f t="shared" si="71"/>
        <v>0</v>
      </c>
    </row>
    <row r="2149" spans="1:6" x14ac:dyDescent="0.3">
      <c r="A2149" s="4"/>
      <c r="B2149" s="1"/>
      <c r="C2149" s="2"/>
      <c r="D2149" s="2"/>
      <c r="E2149" s="5">
        <f t="shared" si="70"/>
        <v>0</v>
      </c>
      <c r="F2149" s="6">
        <f t="shared" si="71"/>
        <v>0</v>
      </c>
    </row>
    <row r="2150" spans="1:6" x14ac:dyDescent="0.3">
      <c r="A2150" s="4"/>
      <c r="B2150" s="1"/>
      <c r="C2150" s="2"/>
      <c r="D2150" s="2"/>
      <c r="E2150" s="5">
        <f t="shared" si="70"/>
        <v>0</v>
      </c>
      <c r="F2150" s="6">
        <f t="shared" si="71"/>
        <v>0</v>
      </c>
    </row>
    <row r="2151" spans="1:6" x14ac:dyDescent="0.3">
      <c r="A2151" s="4"/>
      <c r="B2151" s="1"/>
      <c r="C2151" s="2"/>
      <c r="D2151" s="2"/>
      <c r="E2151" s="5">
        <f t="shared" si="70"/>
        <v>0</v>
      </c>
      <c r="F2151" s="6">
        <f t="shared" si="71"/>
        <v>0</v>
      </c>
    </row>
    <row r="2152" spans="1:6" x14ac:dyDescent="0.3">
      <c r="A2152" s="4"/>
      <c r="B2152" s="1"/>
      <c r="C2152" s="2"/>
      <c r="D2152" s="2"/>
      <c r="E2152" s="5">
        <f t="shared" si="70"/>
        <v>0</v>
      </c>
      <c r="F2152" s="6">
        <f t="shared" si="71"/>
        <v>0</v>
      </c>
    </row>
    <row r="2153" spans="1:6" x14ac:dyDescent="0.3">
      <c r="A2153" s="4"/>
      <c r="B2153" s="1"/>
      <c r="C2153" s="2"/>
      <c r="D2153" s="2"/>
      <c r="E2153" s="5">
        <f t="shared" si="70"/>
        <v>0</v>
      </c>
      <c r="F2153" s="6">
        <f t="shared" si="71"/>
        <v>0</v>
      </c>
    </row>
    <row r="2154" spans="1:6" x14ac:dyDescent="0.3">
      <c r="A2154" s="4"/>
      <c r="B2154" s="1"/>
      <c r="C2154" s="2"/>
      <c r="D2154" s="2"/>
      <c r="E2154" s="5">
        <f t="shared" si="70"/>
        <v>0</v>
      </c>
      <c r="F2154" s="6">
        <f t="shared" si="71"/>
        <v>0</v>
      </c>
    </row>
    <row r="2155" spans="1:6" x14ac:dyDescent="0.3">
      <c r="A2155" s="4"/>
      <c r="B2155" s="1"/>
      <c r="C2155" s="2"/>
      <c r="D2155" s="2"/>
      <c r="E2155" s="5">
        <f t="shared" si="70"/>
        <v>0</v>
      </c>
      <c r="F2155" s="6">
        <f t="shared" si="71"/>
        <v>0</v>
      </c>
    </row>
    <row r="2156" spans="1:6" x14ac:dyDescent="0.3">
      <c r="A2156" s="4"/>
      <c r="B2156" s="1"/>
      <c r="C2156" s="2"/>
      <c r="D2156" s="2"/>
      <c r="E2156" s="5">
        <f t="shared" si="70"/>
        <v>0</v>
      </c>
      <c r="F2156" s="6">
        <f t="shared" si="71"/>
        <v>0</v>
      </c>
    </row>
    <row r="2157" spans="1:6" x14ac:dyDescent="0.3">
      <c r="A2157" s="4"/>
      <c r="B2157" s="1"/>
      <c r="C2157" s="2"/>
      <c r="D2157" s="2"/>
      <c r="E2157" s="5">
        <f t="shared" si="70"/>
        <v>0</v>
      </c>
      <c r="F2157" s="6">
        <f t="shared" si="71"/>
        <v>0</v>
      </c>
    </row>
    <row r="2158" spans="1:6" x14ac:dyDescent="0.3">
      <c r="A2158" s="4"/>
      <c r="B2158" s="1"/>
      <c r="C2158" s="2"/>
      <c r="D2158" s="2"/>
      <c r="E2158" s="5">
        <f t="shared" si="70"/>
        <v>0</v>
      </c>
      <c r="F2158" s="6">
        <f t="shared" si="71"/>
        <v>0</v>
      </c>
    </row>
    <row r="2159" spans="1:6" x14ac:dyDescent="0.3">
      <c r="A2159" s="4"/>
      <c r="B2159" s="1"/>
      <c r="C2159" s="2"/>
      <c r="D2159" s="2"/>
      <c r="E2159" s="5">
        <f t="shared" si="70"/>
        <v>0</v>
      </c>
      <c r="F2159" s="6">
        <f t="shared" si="71"/>
        <v>0</v>
      </c>
    </row>
    <row r="2160" spans="1:6" x14ac:dyDescent="0.3">
      <c r="A2160" s="4"/>
      <c r="B2160" s="1"/>
      <c r="C2160" s="2"/>
      <c r="D2160" s="2"/>
      <c r="E2160" s="5">
        <f t="shared" si="70"/>
        <v>0</v>
      </c>
      <c r="F2160" s="6">
        <f t="shared" si="71"/>
        <v>0</v>
      </c>
    </row>
    <row r="2161" spans="1:6" x14ac:dyDescent="0.3">
      <c r="A2161" s="4"/>
      <c r="B2161" s="1"/>
      <c r="C2161" s="2"/>
      <c r="D2161" s="2"/>
      <c r="E2161" s="5">
        <f t="shared" si="70"/>
        <v>0</v>
      </c>
      <c r="F2161" s="6">
        <f t="shared" si="71"/>
        <v>0</v>
      </c>
    </row>
    <row r="2162" spans="1:6" x14ac:dyDescent="0.3">
      <c r="A2162" s="4"/>
      <c r="B2162" s="1"/>
      <c r="C2162" s="2"/>
      <c r="D2162" s="2"/>
      <c r="E2162" s="5">
        <f t="shared" si="70"/>
        <v>0</v>
      </c>
      <c r="F2162" s="6">
        <f t="shared" si="71"/>
        <v>0</v>
      </c>
    </row>
    <row r="2163" spans="1:6" x14ac:dyDescent="0.3">
      <c r="A2163" s="4"/>
      <c r="B2163" s="1"/>
      <c r="C2163" s="2"/>
      <c r="D2163" s="2"/>
      <c r="E2163" s="5">
        <f t="shared" si="70"/>
        <v>0</v>
      </c>
      <c r="F2163" s="6">
        <f t="shared" si="71"/>
        <v>0</v>
      </c>
    </row>
    <row r="2164" spans="1:6" x14ac:dyDescent="0.3">
      <c r="A2164" s="4"/>
      <c r="B2164" s="1"/>
      <c r="C2164" s="2"/>
      <c r="D2164" s="2"/>
      <c r="E2164" s="5">
        <f t="shared" si="70"/>
        <v>0</v>
      </c>
      <c r="F2164" s="6">
        <f t="shared" si="71"/>
        <v>0</v>
      </c>
    </row>
    <row r="2165" spans="1:6" x14ac:dyDescent="0.3">
      <c r="A2165" s="4"/>
      <c r="B2165" s="1"/>
      <c r="C2165" s="2"/>
      <c r="D2165" s="2"/>
      <c r="E2165" s="5">
        <f t="shared" si="70"/>
        <v>0</v>
      </c>
      <c r="F2165" s="6">
        <f t="shared" si="71"/>
        <v>0</v>
      </c>
    </row>
    <row r="2166" spans="1:6" x14ac:dyDescent="0.3">
      <c r="A2166" s="4"/>
      <c r="B2166" s="1"/>
      <c r="C2166" s="2"/>
      <c r="D2166" s="2"/>
      <c r="E2166" s="5">
        <f t="shared" si="70"/>
        <v>0</v>
      </c>
      <c r="F2166" s="6">
        <f t="shared" si="71"/>
        <v>0</v>
      </c>
    </row>
    <row r="2167" spans="1:6" x14ac:dyDescent="0.3">
      <c r="A2167" s="4"/>
      <c r="B2167" s="1"/>
      <c r="C2167" s="2"/>
      <c r="D2167" s="2"/>
      <c r="E2167" s="5">
        <f t="shared" si="70"/>
        <v>0</v>
      </c>
      <c r="F2167" s="6">
        <f t="shared" si="71"/>
        <v>0</v>
      </c>
    </row>
    <row r="2168" spans="1:6" x14ac:dyDescent="0.3">
      <c r="A2168" s="4"/>
      <c r="B2168" s="1"/>
      <c r="C2168" s="2"/>
      <c r="D2168" s="2"/>
      <c r="E2168" s="5">
        <f t="shared" si="70"/>
        <v>0</v>
      </c>
      <c r="F2168" s="6">
        <f t="shared" si="71"/>
        <v>0</v>
      </c>
    </row>
    <row r="2169" spans="1:6" x14ac:dyDescent="0.3">
      <c r="A2169" s="4"/>
      <c r="B2169" s="1"/>
      <c r="C2169" s="2"/>
      <c r="D2169" s="2"/>
      <c r="E2169" s="5">
        <f t="shared" si="70"/>
        <v>0</v>
      </c>
      <c r="F2169" s="6">
        <f t="shared" si="71"/>
        <v>0</v>
      </c>
    </row>
    <row r="2170" spans="1:6" x14ac:dyDescent="0.3">
      <c r="A2170" s="4"/>
      <c r="B2170" s="1"/>
      <c r="C2170" s="2"/>
      <c r="D2170" s="2"/>
      <c r="E2170" s="5">
        <f t="shared" si="70"/>
        <v>0</v>
      </c>
      <c r="F2170" s="6">
        <f t="shared" si="71"/>
        <v>0</v>
      </c>
    </row>
    <row r="2171" spans="1:6" x14ac:dyDescent="0.3">
      <c r="A2171" s="4"/>
      <c r="B2171" s="1"/>
      <c r="C2171" s="2"/>
      <c r="D2171" s="2"/>
      <c r="E2171" s="5">
        <f t="shared" si="70"/>
        <v>0</v>
      </c>
      <c r="F2171" s="6">
        <f t="shared" si="71"/>
        <v>0</v>
      </c>
    </row>
    <row r="2172" spans="1:6" x14ac:dyDescent="0.3">
      <c r="A2172" s="4"/>
      <c r="B2172" s="1"/>
      <c r="C2172" s="2"/>
      <c r="D2172" s="2"/>
      <c r="E2172" s="5">
        <f t="shared" si="70"/>
        <v>0</v>
      </c>
      <c r="F2172" s="6">
        <f t="shared" si="71"/>
        <v>0</v>
      </c>
    </row>
    <row r="2173" spans="1:6" x14ac:dyDescent="0.3">
      <c r="A2173" s="4"/>
      <c r="B2173" s="1"/>
      <c r="C2173" s="2"/>
      <c r="D2173" s="2"/>
      <c r="E2173" s="5">
        <f t="shared" si="70"/>
        <v>0</v>
      </c>
      <c r="F2173" s="6">
        <f t="shared" si="71"/>
        <v>0</v>
      </c>
    </row>
    <row r="2174" spans="1:6" x14ac:dyDescent="0.3">
      <c r="A2174" s="4"/>
      <c r="B2174" s="1"/>
      <c r="C2174" s="2"/>
      <c r="D2174" s="2"/>
      <c r="E2174" s="5">
        <f t="shared" si="70"/>
        <v>0</v>
      </c>
      <c r="F2174" s="6">
        <f t="shared" si="71"/>
        <v>0</v>
      </c>
    </row>
    <row r="2175" spans="1:6" x14ac:dyDescent="0.3">
      <c r="A2175" s="4"/>
      <c r="B2175" s="1"/>
      <c r="C2175" s="2"/>
      <c r="D2175" s="2"/>
      <c r="E2175" s="5">
        <f t="shared" si="70"/>
        <v>0</v>
      </c>
      <c r="F2175" s="6">
        <f t="shared" si="71"/>
        <v>0</v>
      </c>
    </row>
    <row r="2176" spans="1:6" x14ac:dyDescent="0.3">
      <c r="A2176" s="4"/>
      <c r="B2176" s="1"/>
      <c r="C2176" s="2"/>
      <c r="D2176" s="2"/>
      <c r="E2176" s="5">
        <f t="shared" si="70"/>
        <v>0</v>
      </c>
      <c r="F2176" s="6">
        <f t="shared" si="71"/>
        <v>0</v>
      </c>
    </row>
    <row r="2177" spans="1:6" x14ac:dyDescent="0.3">
      <c r="A2177" s="4"/>
      <c r="B2177" s="1"/>
      <c r="C2177" s="2"/>
      <c r="D2177" s="2"/>
      <c r="E2177" s="5">
        <f t="shared" si="70"/>
        <v>0</v>
      </c>
      <c r="F2177" s="6">
        <f t="shared" si="71"/>
        <v>0</v>
      </c>
    </row>
    <row r="2178" spans="1:6" x14ac:dyDescent="0.3">
      <c r="A2178" s="4"/>
      <c r="B2178" s="1"/>
      <c r="C2178" s="2"/>
      <c r="D2178" s="2"/>
      <c r="E2178" s="5">
        <f t="shared" si="70"/>
        <v>0</v>
      </c>
      <c r="F2178" s="6">
        <f t="shared" si="71"/>
        <v>0</v>
      </c>
    </row>
    <row r="2179" spans="1:6" x14ac:dyDescent="0.3">
      <c r="A2179" s="4"/>
      <c r="B2179" s="1"/>
      <c r="C2179" s="2"/>
      <c r="D2179" s="2"/>
      <c r="E2179" s="5">
        <f t="shared" ref="E2179:E2242" si="72">D2179-C2179</f>
        <v>0</v>
      </c>
      <c r="F2179" s="6">
        <f t="shared" ref="F2179:F2242" si="73">ROUND(VALUE(E2179)*4,2)</f>
        <v>0</v>
      </c>
    </row>
    <row r="2180" spans="1:6" x14ac:dyDescent="0.3">
      <c r="A2180" s="4"/>
      <c r="B2180" s="1"/>
      <c r="C2180" s="2"/>
      <c r="D2180" s="2"/>
      <c r="E2180" s="5">
        <f t="shared" si="72"/>
        <v>0</v>
      </c>
      <c r="F2180" s="6">
        <f t="shared" si="73"/>
        <v>0</v>
      </c>
    </row>
    <row r="2181" spans="1:6" x14ac:dyDescent="0.3">
      <c r="A2181" s="4"/>
      <c r="B2181" s="1"/>
      <c r="C2181" s="2"/>
      <c r="D2181" s="2"/>
      <c r="E2181" s="5">
        <f t="shared" si="72"/>
        <v>0</v>
      </c>
      <c r="F2181" s="6">
        <f t="shared" si="73"/>
        <v>0</v>
      </c>
    </row>
    <row r="2182" spans="1:6" x14ac:dyDescent="0.3">
      <c r="A2182" s="4"/>
      <c r="B2182" s="1"/>
      <c r="C2182" s="2"/>
      <c r="D2182" s="2"/>
      <c r="E2182" s="5">
        <f t="shared" si="72"/>
        <v>0</v>
      </c>
      <c r="F2182" s="6">
        <f t="shared" si="73"/>
        <v>0</v>
      </c>
    </row>
    <row r="2183" spans="1:6" x14ac:dyDescent="0.3">
      <c r="A2183" s="4"/>
      <c r="B2183" s="1"/>
      <c r="C2183" s="2"/>
      <c r="D2183" s="2"/>
      <c r="E2183" s="5">
        <f t="shared" si="72"/>
        <v>0</v>
      </c>
      <c r="F2183" s="6">
        <f t="shared" si="73"/>
        <v>0</v>
      </c>
    </row>
    <row r="2184" spans="1:6" x14ac:dyDescent="0.3">
      <c r="A2184" s="4"/>
      <c r="B2184" s="1"/>
      <c r="C2184" s="2"/>
      <c r="D2184" s="2"/>
      <c r="E2184" s="5">
        <f t="shared" si="72"/>
        <v>0</v>
      </c>
      <c r="F2184" s="6">
        <f t="shared" si="73"/>
        <v>0</v>
      </c>
    </row>
    <row r="2185" spans="1:6" x14ac:dyDescent="0.3">
      <c r="A2185" s="4"/>
      <c r="B2185" s="1"/>
      <c r="C2185" s="2"/>
      <c r="D2185" s="2"/>
      <c r="E2185" s="5">
        <f t="shared" si="72"/>
        <v>0</v>
      </c>
      <c r="F2185" s="6">
        <f t="shared" si="73"/>
        <v>0</v>
      </c>
    </row>
    <row r="2186" spans="1:6" x14ac:dyDescent="0.3">
      <c r="A2186" s="4"/>
      <c r="B2186" s="1"/>
      <c r="C2186" s="2"/>
      <c r="D2186" s="2"/>
      <c r="E2186" s="5">
        <f t="shared" si="72"/>
        <v>0</v>
      </c>
      <c r="F2186" s="6">
        <f t="shared" si="73"/>
        <v>0</v>
      </c>
    </row>
    <row r="2187" spans="1:6" x14ac:dyDescent="0.3">
      <c r="A2187" s="4"/>
      <c r="B2187" s="1"/>
      <c r="C2187" s="2"/>
      <c r="D2187" s="2"/>
      <c r="E2187" s="5">
        <f t="shared" si="72"/>
        <v>0</v>
      </c>
      <c r="F2187" s="6">
        <f t="shared" si="73"/>
        <v>0</v>
      </c>
    </row>
    <row r="2188" spans="1:6" x14ac:dyDescent="0.3">
      <c r="A2188" s="4"/>
      <c r="B2188" s="1"/>
      <c r="C2188" s="2"/>
      <c r="D2188" s="2"/>
      <c r="E2188" s="5">
        <f t="shared" si="72"/>
        <v>0</v>
      </c>
      <c r="F2188" s="6">
        <f t="shared" si="73"/>
        <v>0</v>
      </c>
    </row>
    <row r="2189" spans="1:6" x14ac:dyDescent="0.3">
      <c r="A2189" s="4"/>
      <c r="B2189" s="1"/>
      <c r="C2189" s="2"/>
      <c r="D2189" s="2"/>
      <c r="E2189" s="5">
        <f t="shared" si="72"/>
        <v>0</v>
      </c>
      <c r="F2189" s="6">
        <f t="shared" si="73"/>
        <v>0</v>
      </c>
    </row>
    <row r="2190" spans="1:6" x14ac:dyDescent="0.3">
      <c r="A2190" s="4"/>
      <c r="B2190" s="1"/>
      <c r="C2190" s="2"/>
      <c r="D2190" s="2"/>
      <c r="E2190" s="5">
        <f t="shared" si="72"/>
        <v>0</v>
      </c>
      <c r="F2190" s="6">
        <f t="shared" si="73"/>
        <v>0</v>
      </c>
    </row>
    <row r="2191" spans="1:6" x14ac:dyDescent="0.3">
      <c r="A2191" s="4"/>
      <c r="B2191" s="1"/>
      <c r="C2191" s="2"/>
      <c r="D2191" s="2"/>
      <c r="E2191" s="5">
        <f t="shared" si="72"/>
        <v>0</v>
      </c>
      <c r="F2191" s="6">
        <f t="shared" si="73"/>
        <v>0</v>
      </c>
    </row>
    <row r="2192" spans="1:6" x14ac:dyDescent="0.3">
      <c r="A2192" s="4"/>
      <c r="B2192" s="1"/>
      <c r="C2192" s="2"/>
      <c r="D2192" s="2"/>
      <c r="E2192" s="5">
        <f t="shared" si="72"/>
        <v>0</v>
      </c>
      <c r="F2192" s="6">
        <f t="shared" si="73"/>
        <v>0</v>
      </c>
    </row>
    <row r="2193" spans="1:6" x14ac:dyDescent="0.3">
      <c r="A2193" s="4"/>
      <c r="B2193" s="1"/>
      <c r="C2193" s="2"/>
      <c r="D2193" s="2"/>
      <c r="E2193" s="5">
        <f t="shared" si="72"/>
        <v>0</v>
      </c>
      <c r="F2193" s="6">
        <f t="shared" si="73"/>
        <v>0</v>
      </c>
    </row>
    <row r="2194" spans="1:6" x14ac:dyDescent="0.3">
      <c r="A2194" s="4"/>
      <c r="B2194" s="1"/>
      <c r="C2194" s="2"/>
      <c r="D2194" s="2"/>
      <c r="E2194" s="5">
        <f t="shared" si="72"/>
        <v>0</v>
      </c>
      <c r="F2194" s="6">
        <f t="shared" si="73"/>
        <v>0</v>
      </c>
    </row>
    <row r="2195" spans="1:6" x14ac:dyDescent="0.3">
      <c r="A2195" s="4"/>
      <c r="B2195" s="1"/>
      <c r="C2195" s="2"/>
      <c r="D2195" s="2"/>
      <c r="E2195" s="5">
        <f t="shared" si="72"/>
        <v>0</v>
      </c>
      <c r="F2195" s="6">
        <f t="shared" si="73"/>
        <v>0</v>
      </c>
    </row>
    <row r="2196" spans="1:6" x14ac:dyDescent="0.3">
      <c r="A2196" s="4"/>
      <c r="B2196" s="1"/>
      <c r="C2196" s="2"/>
      <c r="D2196" s="2"/>
      <c r="E2196" s="5">
        <f t="shared" si="72"/>
        <v>0</v>
      </c>
      <c r="F2196" s="6">
        <f t="shared" si="73"/>
        <v>0</v>
      </c>
    </row>
    <row r="2197" spans="1:6" x14ac:dyDescent="0.3">
      <c r="A2197" s="4"/>
      <c r="B2197" s="1"/>
      <c r="C2197" s="2"/>
      <c r="D2197" s="2"/>
      <c r="E2197" s="5">
        <f t="shared" si="72"/>
        <v>0</v>
      </c>
      <c r="F2197" s="6">
        <f t="shared" si="73"/>
        <v>0</v>
      </c>
    </row>
    <row r="2198" spans="1:6" x14ac:dyDescent="0.3">
      <c r="A2198" s="4"/>
      <c r="B2198" s="1"/>
      <c r="C2198" s="2"/>
      <c r="D2198" s="2"/>
      <c r="E2198" s="5">
        <f t="shared" si="72"/>
        <v>0</v>
      </c>
      <c r="F2198" s="6">
        <f t="shared" si="73"/>
        <v>0</v>
      </c>
    </row>
    <row r="2199" spans="1:6" x14ac:dyDescent="0.3">
      <c r="A2199" s="4"/>
      <c r="B2199" s="1"/>
      <c r="C2199" s="2"/>
      <c r="D2199" s="2"/>
      <c r="E2199" s="5">
        <f t="shared" si="72"/>
        <v>0</v>
      </c>
      <c r="F2199" s="6">
        <f t="shared" si="73"/>
        <v>0</v>
      </c>
    </row>
    <row r="2200" spans="1:6" x14ac:dyDescent="0.3">
      <c r="A2200" s="4"/>
      <c r="B2200" s="1"/>
      <c r="C2200" s="2"/>
      <c r="D2200" s="2"/>
      <c r="E2200" s="5">
        <f t="shared" si="72"/>
        <v>0</v>
      </c>
      <c r="F2200" s="6">
        <f t="shared" si="73"/>
        <v>0</v>
      </c>
    </row>
    <row r="2201" spans="1:6" x14ac:dyDescent="0.3">
      <c r="A2201" s="4"/>
      <c r="B2201" s="1"/>
      <c r="C2201" s="2"/>
      <c r="D2201" s="2"/>
      <c r="E2201" s="5">
        <f t="shared" si="72"/>
        <v>0</v>
      </c>
      <c r="F2201" s="6">
        <f t="shared" si="73"/>
        <v>0</v>
      </c>
    </row>
    <row r="2202" spans="1:6" x14ac:dyDescent="0.3">
      <c r="A2202" s="4"/>
      <c r="B2202" s="1"/>
      <c r="C2202" s="2"/>
      <c r="D2202" s="2"/>
      <c r="E2202" s="5">
        <f t="shared" si="72"/>
        <v>0</v>
      </c>
      <c r="F2202" s="6">
        <f t="shared" si="73"/>
        <v>0</v>
      </c>
    </row>
    <row r="2203" spans="1:6" x14ac:dyDescent="0.3">
      <c r="A2203" s="4"/>
      <c r="B2203" s="1"/>
      <c r="C2203" s="2"/>
      <c r="D2203" s="2"/>
      <c r="E2203" s="5">
        <f t="shared" si="72"/>
        <v>0</v>
      </c>
      <c r="F2203" s="6">
        <f t="shared" si="73"/>
        <v>0</v>
      </c>
    </row>
    <row r="2204" spans="1:6" x14ac:dyDescent="0.3">
      <c r="A2204" s="4"/>
      <c r="B2204" s="1"/>
      <c r="C2204" s="2"/>
      <c r="D2204" s="2"/>
      <c r="E2204" s="5">
        <f t="shared" si="72"/>
        <v>0</v>
      </c>
      <c r="F2204" s="6">
        <f t="shared" si="73"/>
        <v>0</v>
      </c>
    </row>
    <row r="2205" spans="1:6" x14ac:dyDescent="0.3">
      <c r="A2205" s="4"/>
      <c r="B2205" s="1"/>
      <c r="C2205" s="2"/>
      <c r="D2205" s="2"/>
      <c r="E2205" s="5">
        <f t="shared" si="72"/>
        <v>0</v>
      </c>
      <c r="F2205" s="6">
        <f t="shared" si="73"/>
        <v>0</v>
      </c>
    </row>
    <row r="2206" spans="1:6" x14ac:dyDescent="0.3">
      <c r="A2206" s="4"/>
      <c r="B2206" s="1"/>
      <c r="C2206" s="2"/>
      <c r="D2206" s="2"/>
      <c r="E2206" s="5">
        <f t="shared" si="72"/>
        <v>0</v>
      </c>
      <c r="F2206" s="6">
        <f t="shared" si="73"/>
        <v>0</v>
      </c>
    </row>
    <row r="2207" spans="1:6" x14ac:dyDescent="0.3">
      <c r="A2207" s="4"/>
      <c r="B2207" s="1"/>
      <c r="C2207" s="2"/>
      <c r="D2207" s="2"/>
      <c r="E2207" s="5">
        <f t="shared" si="72"/>
        <v>0</v>
      </c>
      <c r="F2207" s="6">
        <f t="shared" si="73"/>
        <v>0</v>
      </c>
    </row>
    <row r="2208" spans="1:6" x14ac:dyDescent="0.3">
      <c r="A2208" s="4"/>
      <c r="B2208" s="1"/>
      <c r="C2208" s="2"/>
      <c r="D2208" s="2"/>
      <c r="E2208" s="5">
        <f t="shared" si="72"/>
        <v>0</v>
      </c>
      <c r="F2208" s="6">
        <f t="shared" si="73"/>
        <v>0</v>
      </c>
    </row>
    <row r="2209" spans="1:6" x14ac:dyDescent="0.3">
      <c r="A2209" s="4"/>
      <c r="B2209" s="1"/>
      <c r="C2209" s="2"/>
      <c r="D2209" s="2"/>
      <c r="E2209" s="5">
        <f t="shared" si="72"/>
        <v>0</v>
      </c>
      <c r="F2209" s="6">
        <f t="shared" si="73"/>
        <v>0</v>
      </c>
    </row>
    <row r="2210" spans="1:6" x14ac:dyDescent="0.3">
      <c r="A2210" s="4"/>
      <c r="B2210" s="1"/>
      <c r="C2210" s="2"/>
      <c r="D2210" s="2"/>
      <c r="E2210" s="5">
        <f t="shared" si="72"/>
        <v>0</v>
      </c>
      <c r="F2210" s="6">
        <f t="shared" si="73"/>
        <v>0</v>
      </c>
    </row>
    <row r="2211" spans="1:6" x14ac:dyDescent="0.3">
      <c r="A2211" s="4"/>
      <c r="B2211" s="1"/>
      <c r="C2211" s="2"/>
      <c r="D2211" s="2"/>
      <c r="E2211" s="5">
        <f t="shared" si="72"/>
        <v>0</v>
      </c>
      <c r="F2211" s="6">
        <f t="shared" si="73"/>
        <v>0</v>
      </c>
    </row>
    <row r="2212" spans="1:6" x14ac:dyDescent="0.3">
      <c r="A2212" s="4"/>
      <c r="B2212" s="1"/>
      <c r="C2212" s="2"/>
      <c r="D2212" s="2"/>
      <c r="E2212" s="5">
        <f t="shared" si="72"/>
        <v>0</v>
      </c>
      <c r="F2212" s="6">
        <f t="shared" si="73"/>
        <v>0</v>
      </c>
    </row>
    <row r="2213" spans="1:6" x14ac:dyDescent="0.3">
      <c r="A2213" s="4"/>
      <c r="B2213" s="1"/>
      <c r="C2213" s="2"/>
      <c r="D2213" s="2"/>
      <c r="E2213" s="5">
        <f t="shared" si="72"/>
        <v>0</v>
      </c>
      <c r="F2213" s="6">
        <f t="shared" si="73"/>
        <v>0</v>
      </c>
    </row>
    <row r="2214" spans="1:6" x14ac:dyDescent="0.3">
      <c r="A2214" s="4"/>
      <c r="B2214" s="1"/>
      <c r="C2214" s="2"/>
      <c r="D2214" s="2"/>
      <c r="E2214" s="5">
        <f t="shared" si="72"/>
        <v>0</v>
      </c>
      <c r="F2214" s="6">
        <f t="shared" si="73"/>
        <v>0</v>
      </c>
    </row>
    <row r="2215" spans="1:6" x14ac:dyDescent="0.3">
      <c r="A2215" s="4"/>
      <c r="B2215" s="1"/>
      <c r="C2215" s="2"/>
      <c r="D2215" s="2"/>
      <c r="E2215" s="5">
        <f t="shared" si="72"/>
        <v>0</v>
      </c>
      <c r="F2215" s="6">
        <f t="shared" si="73"/>
        <v>0</v>
      </c>
    </row>
    <row r="2216" spans="1:6" x14ac:dyDescent="0.3">
      <c r="A2216" s="4"/>
      <c r="B2216" s="1"/>
      <c r="C2216" s="2"/>
      <c r="D2216" s="2"/>
      <c r="E2216" s="5">
        <f t="shared" si="72"/>
        <v>0</v>
      </c>
      <c r="F2216" s="6">
        <f t="shared" si="73"/>
        <v>0</v>
      </c>
    </row>
    <row r="2217" spans="1:6" x14ac:dyDescent="0.3">
      <c r="A2217" s="4"/>
      <c r="B2217" s="1"/>
      <c r="C2217" s="2"/>
      <c r="D2217" s="2"/>
      <c r="E2217" s="5">
        <f t="shared" si="72"/>
        <v>0</v>
      </c>
      <c r="F2217" s="6">
        <f t="shared" si="73"/>
        <v>0</v>
      </c>
    </row>
    <row r="2218" spans="1:6" x14ac:dyDescent="0.3">
      <c r="A2218" s="4"/>
      <c r="B2218" s="1"/>
      <c r="C2218" s="2"/>
      <c r="D2218" s="2"/>
      <c r="E2218" s="5">
        <f t="shared" si="72"/>
        <v>0</v>
      </c>
      <c r="F2218" s="6">
        <f t="shared" si="73"/>
        <v>0</v>
      </c>
    </row>
    <row r="2219" spans="1:6" x14ac:dyDescent="0.3">
      <c r="A2219" s="4"/>
      <c r="B2219" s="1"/>
      <c r="C2219" s="2"/>
      <c r="D2219" s="2"/>
      <c r="E2219" s="5">
        <f t="shared" si="72"/>
        <v>0</v>
      </c>
      <c r="F2219" s="6">
        <f t="shared" si="73"/>
        <v>0</v>
      </c>
    </row>
    <row r="2220" spans="1:6" x14ac:dyDescent="0.3">
      <c r="A2220" s="4"/>
      <c r="B2220" s="1"/>
      <c r="C2220" s="2"/>
      <c r="D2220" s="2"/>
      <c r="E2220" s="5">
        <f t="shared" si="72"/>
        <v>0</v>
      </c>
      <c r="F2220" s="6">
        <f t="shared" si="73"/>
        <v>0</v>
      </c>
    </row>
    <row r="2221" spans="1:6" x14ac:dyDescent="0.3">
      <c r="A2221" s="4"/>
      <c r="B2221" s="1"/>
      <c r="C2221" s="2"/>
      <c r="D2221" s="2"/>
      <c r="E2221" s="5">
        <f t="shared" si="72"/>
        <v>0</v>
      </c>
      <c r="F2221" s="6">
        <f t="shared" si="73"/>
        <v>0</v>
      </c>
    </row>
    <row r="2222" spans="1:6" x14ac:dyDescent="0.3">
      <c r="A2222" s="4"/>
      <c r="B2222" s="1"/>
      <c r="C2222" s="2"/>
      <c r="D2222" s="2"/>
      <c r="E2222" s="5">
        <f t="shared" si="72"/>
        <v>0</v>
      </c>
      <c r="F2222" s="6">
        <f t="shared" si="73"/>
        <v>0</v>
      </c>
    </row>
    <row r="2223" spans="1:6" x14ac:dyDescent="0.3">
      <c r="A2223" s="4"/>
      <c r="B2223" s="1"/>
      <c r="C2223" s="2"/>
      <c r="D2223" s="2"/>
      <c r="E2223" s="5">
        <f t="shared" si="72"/>
        <v>0</v>
      </c>
      <c r="F2223" s="6">
        <f t="shared" si="73"/>
        <v>0</v>
      </c>
    </row>
    <row r="2224" spans="1:6" x14ac:dyDescent="0.3">
      <c r="A2224" s="4"/>
      <c r="B2224" s="1"/>
      <c r="C2224" s="2"/>
      <c r="D2224" s="2"/>
      <c r="E2224" s="5">
        <f t="shared" si="72"/>
        <v>0</v>
      </c>
      <c r="F2224" s="6">
        <f t="shared" si="73"/>
        <v>0</v>
      </c>
    </row>
    <row r="2225" spans="1:6" x14ac:dyDescent="0.3">
      <c r="A2225" s="4"/>
      <c r="B2225" s="1"/>
      <c r="C2225" s="2"/>
      <c r="D2225" s="2"/>
      <c r="E2225" s="5">
        <f t="shared" si="72"/>
        <v>0</v>
      </c>
      <c r="F2225" s="6">
        <f t="shared" si="73"/>
        <v>0</v>
      </c>
    </row>
    <row r="2226" spans="1:6" x14ac:dyDescent="0.3">
      <c r="A2226" s="4"/>
      <c r="B2226" s="1"/>
      <c r="C2226" s="2"/>
      <c r="D2226" s="2"/>
      <c r="E2226" s="5">
        <f t="shared" si="72"/>
        <v>0</v>
      </c>
      <c r="F2226" s="6">
        <f t="shared" si="73"/>
        <v>0</v>
      </c>
    </row>
    <row r="2227" spans="1:6" x14ac:dyDescent="0.3">
      <c r="A2227" s="4"/>
      <c r="B2227" s="1"/>
      <c r="C2227" s="2"/>
      <c r="D2227" s="2"/>
      <c r="E2227" s="5">
        <f t="shared" si="72"/>
        <v>0</v>
      </c>
      <c r="F2227" s="6">
        <f t="shared" si="73"/>
        <v>0</v>
      </c>
    </row>
    <row r="2228" spans="1:6" x14ac:dyDescent="0.3">
      <c r="A2228" s="4"/>
      <c r="B2228" s="1"/>
      <c r="C2228" s="2"/>
      <c r="D2228" s="2"/>
      <c r="E2228" s="5">
        <f t="shared" si="72"/>
        <v>0</v>
      </c>
      <c r="F2228" s="6">
        <f t="shared" si="73"/>
        <v>0</v>
      </c>
    </row>
    <row r="2229" spans="1:6" x14ac:dyDescent="0.3">
      <c r="A2229" s="4"/>
      <c r="B2229" s="1"/>
      <c r="C2229" s="2"/>
      <c r="D2229" s="2"/>
      <c r="E2229" s="5">
        <f t="shared" si="72"/>
        <v>0</v>
      </c>
      <c r="F2229" s="6">
        <f t="shared" si="73"/>
        <v>0</v>
      </c>
    </row>
    <row r="2230" spans="1:6" x14ac:dyDescent="0.3">
      <c r="A2230" s="4"/>
      <c r="B2230" s="1"/>
      <c r="C2230" s="2"/>
      <c r="D2230" s="2"/>
      <c r="E2230" s="5">
        <f t="shared" si="72"/>
        <v>0</v>
      </c>
      <c r="F2230" s="6">
        <f t="shared" si="73"/>
        <v>0</v>
      </c>
    </row>
    <row r="2231" spans="1:6" x14ac:dyDescent="0.3">
      <c r="A2231" s="4"/>
      <c r="B2231" s="1"/>
      <c r="C2231" s="2"/>
      <c r="D2231" s="2"/>
      <c r="E2231" s="5">
        <f t="shared" si="72"/>
        <v>0</v>
      </c>
      <c r="F2231" s="6">
        <f t="shared" si="73"/>
        <v>0</v>
      </c>
    </row>
    <row r="2232" spans="1:6" x14ac:dyDescent="0.3">
      <c r="A2232" s="4"/>
      <c r="B2232" s="1"/>
      <c r="C2232" s="2"/>
      <c r="D2232" s="2"/>
      <c r="E2232" s="5">
        <f t="shared" si="72"/>
        <v>0</v>
      </c>
      <c r="F2232" s="6">
        <f t="shared" si="73"/>
        <v>0</v>
      </c>
    </row>
    <row r="2233" spans="1:6" x14ac:dyDescent="0.3">
      <c r="A2233" s="4"/>
      <c r="B2233" s="1"/>
      <c r="C2233" s="2"/>
      <c r="D2233" s="2"/>
      <c r="E2233" s="5">
        <f t="shared" si="72"/>
        <v>0</v>
      </c>
      <c r="F2233" s="6">
        <f t="shared" si="73"/>
        <v>0</v>
      </c>
    </row>
    <row r="2234" spans="1:6" x14ac:dyDescent="0.3">
      <c r="A2234" s="4"/>
      <c r="B2234" s="1"/>
      <c r="C2234" s="2"/>
      <c r="D2234" s="2"/>
      <c r="E2234" s="5">
        <f t="shared" si="72"/>
        <v>0</v>
      </c>
      <c r="F2234" s="6">
        <f t="shared" si="73"/>
        <v>0</v>
      </c>
    </row>
    <row r="2235" spans="1:6" x14ac:dyDescent="0.3">
      <c r="A2235" s="4"/>
      <c r="B2235" s="1"/>
      <c r="C2235" s="2"/>
      <c r="D2235" s="2"/>
      <c r="E2235" s="5">
        <f t="shared" si="72"/>
        <v>0</v>
      </c>
      <c r="F2235" s="6">
        <f t="shared" si="73"/>
        <v>0</v>
      </c>
    </row>
    <row r="2236" spans="1:6" x14ac:dyDescent="0.3">
      <c r="A2236" s="4"/>
      <c r="B2236" s="1"/>
      <c r="C2236" s="2"/>
      <c r="D2236" s="2"/>
      <c r="E2236" s="5">
        <f t="shared" si="72"/>
        <v>0</v>
      </c>
      <c r="F2236" s="6">
        <f t="shared" si="73"/>
        <v>0</v>
      </c>
    </row>
    <row r="2237" spans="1:6" x14ac:dyDescent="0.3">
      <c r="A2237" s="4"/>
      <c r="B2237" s="1"/>
      <c r="C2237" s="2"/>
      <c r="D2237" s="2"/>
      <c r="E2237" s="5">
        <f t="shared" si="72"/>
        <v>0</v>
      </c>
      <c r="F2237" s="6">
        <f t="shared" si="73"/>
        <v>0</v>
      </c>
    </row>
    <row r="2238" spans="1:6" x14ac:dyDescent="0.3">
      <c r="A2238" s="4"/>
      <c r="B2238" s="1"/>
      <c r="C2238" s="2"/>
      <c r="D2238" s="2"/>
      <c r="E2238" s="5">
        <f t="shared" si="72"/>
        <v>0</v>
      </c>
      <c r="F2238" s="6">
        <f t="shared" si="73"/>
        <v>0</v>
      </c>
    </row>
    <row r="2239" spans="1:6" x14ac:dyDescent="0.3">
      <c r="A2239" s="4"/>
      <c r="B2239" s="1"/>
      <c r="C2239" s="2"/>
      <c r="D2239" s="2"/>
      <c r="E2239" s="5">
        <f t="shared" si="72"/>
        <v>0</v>
      </c>
      <c r="F2239" s="6">
        <f t="shared" si="73"/>
        <v>0</v>
      </c>
    </row>
    <row r="2240" spans="1:6" x14ac:dyDescent="0.3">
      <c r="A2240" s="4"/>
      <c r="B2240" s="1"/>
      <c r="C2240" s="2"/>
      <c r="D2240" s="2"/>
      <c r="E2240" s="5">
        <f t="shared" si="72"/>
        <v>0</v>
      </c>
      <c r="F2240" s="6">
        <f t="shared" si="73"/>
        <v>0</v>
      </c>
    </row>
    <row r="2241" spans="1:6" x14ac:dyDescent="0.3">
      <c r="A2241" s="4"/>
      <c r="B2241" s="1"/>
      <c r="C2241" s="2"/>
      <c r="D2241" s="2"/>
      <c r="E2241" s="5">
        <f t="shared" si="72"/>
        <v>0</v>
      </c>
      <c r="F2241" s="6">
        <f t="shared" si="73"/>
        <v>0</v>
      </c>
    </row>
    <row r="2242" spans="1:6" x14ac:dyDescent="0.3">
      <c r="A2242" s="4"/>
      <c r="B2242" s="1"/>
      <c r="C2242" s="2"/>
      <c r="D2242" s="2"/>
      <c r="E2242" s="5">
        <f t="shared" si="72"/>
        <v>0</v>
      </c>
      <c r="F2242" s="6">
        <f t="shared" si="73"/>
        <v>0</v>
      </c>
    </row>
    <row r="2243" spans="1:6" x14ac:dyDescent="0.3">
      <c r="A2243" s="4"/>
      <c r="B2243" s="1"/>
      <c r="C2243" s="2"/>
      <c r="D2243" s="2"/>
      <c r="E2243" s="5">
        <f t="shared" ref="E2243:E2306" si="74">D2243-C2243</f>
        <v>0</v>
      </c>
      <c r="F2243" s="6">
        <f t="shared" ref="F2243:F2306" si="75">ROUND(VALUE(E2243)*4,2)</f>
        <v>0</v>
      </c>
    </row>
    <row r="2244" spans="1:6" x14ac:dyDescent="0.3">
      <c r="A2244" s="4"/>
      <c r="B2244" s="1"/>
      <c r="C2244" s="2"/>
      <c r="D2244" s="2"/>
      <c r="E2244" s="5">
        <f t="shared" si="74"/>
        <v>0</v>
      </c>
      <c r="F2244" s="6">
        <f t="shared" si="75"/>
        <v>0</v>
      </c>
    </row>
    <row r="2245" spans="1:6" x14ac:dyDescent="0.3">
      <c r="A2245" s="4"/>
      <c r="B2245" s="1"/>
      <c r="C2245" s="2"/>
      <c r="D2245" s="2"/>
      <c r="E2245" s="5">
        <f t="shared" si="74"/>
        <v>0</v>
      </c>
      <c r="F2245" s="6">
        <f t="shared" si="75"/>
        <v>0</v>
      </c>
    </row>
    <row r="2246" spans="1:6" x14ac:dyDescent="0.3">
      <c r="A2246" s="4"/>
      <c r="B2246" s="1"/>
      <c r="C2246" s="2"/>
      <c r="D2246" s="2"/>
      <c r="E2246" s="5">
        <f t="shared" si="74"/>
        <v>0</v>
      </c>
      <c r="F2246" s="6">
        <f t="shared" si="75"/>
        <v>0</v>
      </c>
    </row>
    <row r="2247" spans="1:6" x14ac:dyDescent="0.3">
      <c r="A2247" s="4"/>
      <c r="B2247" s="1"/>
      <c r="C2247" s="2"/>
      <c r="D2247" s="2"/>
      <c r="E2247" s="5">
        <f t="shared" si="74"/>
        <v>0</v>
      </c>
      <c r="F2247" s="6">
        <f t="shared" si="75"/>
        <v>0</v>
      </c>
    </row>
    <row r="2248" spans="1:6" x14ac:dyDescent="0.3">
      <c r="A2248" s="4"/>
      <c r="B2248" s="1"/>
      <c r="C2248" s="2"/>
      <c r="D2248" s="2"/>
      <c r="E2248" s="5">
        <f t="shared" si="74"/>
        <v>0</v>
      </c>
      <c r="F2248" s="6">
        <f t="shared" si="75"/>
        <v>0</v>
      </c>
    </row>
    <row r="2249" spans="1:6" x14ac:dyDescent="0.3">
      <c r="A2249" s="4"/>
      <c r="B2249" s="1"/>
      <c r="C2249" s="2"/>
      <c r="D2249" s="2"/>
      <c r="E2249" s="5">
        <f t="shared" si="74"/>
        <v>0</v>
      </c>
      <c r="F2249" s="6">
        <f t="shared" si="75"/>
        <v>0</v>
      </c>
    </row>
    <row r="2250" spans="1:6" x14ac:dyDescent="0.3">
      <c r="A2250" s="4"/>
      <c r="B2250" s="1"/>
      <c r="C2250" s="2"/>
      <c r="D2250" s="2"/>
      <c r="E2250" s="5">
        <f t="shared" si="74"/>
        <v>0</v>
      </c>
      <c r="F2250" s="6">
        <f t="shared" si="75"/>
        <v>0</v>
      </c>
    </row>
    <row r="2251" spans="1:6" x14ac:dyDescent="0.3">
      <c r="A2251" s="4"/>
      <c r="B2251" s="1"/>
      <c r="C2251" s="2"/>
      <c r="D2251" s="2"/>
      <c r="E2251" s="5">
        <f t="shared" si="74"/>
        <v>0</v>
      </c>
      <c r="F2251" s="6">
        <f t="shared" si="75"/>
        <v>0</v>
      </c>
    </row>
    <row r="2252" spans="1:6" x14ac:dyDescent="0.3">
      <c r="A2252" s="4"/>
      <c r="B2252" s="1"/>
      <c r="C2252" s="2"/>
      <c r="D2252" s="2"/>
      <c r="E2252" s="5">
        <f t="shared" si="74"/>
        <v>0</v>
      </c>
      <c r="F2252" s="6">
        <f t="shared" si="75"/>
        <v>0</v>
      </c>
    </row>
    <row r="2253" spans="1:6" x14ac:dyDescent="0.3">
      <c r="A2253" s="4"/>
      <c r="B2253" s="1"/>
      <c r="C2253" s="2"/>
      <c r="D2253" s="2"/>
      <c r="E2253" s="5">
        <f t="shared" si="74"/>
        <v>0</v>
      </c>
      <c r="F2253" s="6">
        <f t="shared" si="75"/>
        <v>0</v>
      </c>
    </row>
    <row r="2254" spans="1:6" x14ac:dyDescent="0.3">
      <c r="A2254" s="4"/>
      <c r="B2254" s="1"/>
      <c r="C2254" s="2"/>
      <c r="D2254" s="2"/>
      <c r="E2254" s="5">
        <f t="shared" si="74"/>
        <v>0</v>
      </c>
      <c r="F2254" s="6">
        <f t="shared" si="75"/>
        <v>0</v>
      </c>
    </row>
    <row r="2255" spans="1:6" x14ac:dyDescent="0.3">
      <c r="A2255" s="4"/>
      <c r="B2255" s="1"/>
      <c r="C2255" s="2"/>
      <c r="D2255" s="2"/>
      <c r="E2255" s="5">
        <f t="shared" si="74"/>
        <v>0</v>
      </c>
      <c r="F2255" s="6">
        <f t="shared" si="75"/>
        <v>0</v>
      </c>
    </row>
    <row r="2256" spans="1:6" x14ac:dyDescent="0.3">
      <c r="A2256" s="4"/>
      <c r="B2256" s="1"/>
      <c r="C2256" s="2"/>
      <c r="D2256" s="2"/>
      <c r="E2256" s="5">
        <f t="shared" si="74"/>
        <v>0</v>
      </c>
      <c r="F2256" s="6">
        <f t="shared" si="75"/>
        <v>0</v>
      </c>
    </row>
    <row r="2257" spans="1:6" x14ac:dyDescent="0.3">
      <c r="A2257" s="4"/>
      <c r="B2257" s="1"/>
      <c r="C2257" s="2"/>
      <c r="D2257" s="2"/>
      <c r="E2257" s="5">
        <f t="shared" si="74"/>
        <v>0</v>
      </c>
      <c r="F2257" s="6">
        <f t="shared" si="75"/>
        <v>0</v>
      </c>
    </row>
    <row r="2258" spans="1:6" x14ac:dyDescent="0.3">
      <c r="A2258" s="4"/>
      <c r="B2258" s="1"/>
      <c r="C2258" s="2"/>
      <c r="D2258" s="2"/>
      <c r="E2258" s="5">
        <f t="shared" si="74"/>
        <v>0</v>
      </c>
      <c r="F2258" s="6">
        <f t="shared" si="75"/>
        <v>0</v>
      </c>
    </row>
    <row r="2259" spans="1:6" x14ac:dyDescent="0.3">
      <c r="A2259" s="4"/>
      <c r="B2259" s="1"/>
      <c r="C2259" s="2"/>
      <c r="D2259" s="2"/>
      <c r="E2259" s="5">
        <f t="shared" si="74"/>
        <v>0</v>
      </c>
      <c r="F2259" s="6">
        <f t="shared" si="75"/>
        <v>0</v>
      </c>
    </row>
    <row r="2260" spans="1:6" x14ac:dyDescent="0.3">
      <c r="A2260" s="4"/>
      <c r="B2260" s="1"/>
      <c r="C2260" s="2"/>
      <c r="D2260" s="2"/>
      <c r="E2260" s="5">
        <f t="shared" si="74"/>
        <v>0</v>
      </c>
      <c r="F2260" s="6">
        <f t="shared" si="75"/>
        <v>0</v>
      </c>
    </row>
    <row r="2261" spans="1:6" x14ac:dyDescent="0.3">
      <c r="A2261" s="4"/>
      <c r="B2261" s="1"/>
      <c r="C2261" s="2"/>
      <c r="D2261" s="2"/>
      <c r="E2261" s="5">
        <f t="shared" si="74"/>
        <v>0</v>
      </c>
      <c r="F2261" s="6">
        <f t="shared" si="75"/>
        <v>0</v>
      </c>
    </row>
    <row r="2262" spans="1:6" x14ac:dyDescent="0.3">
      <c r="A2262" s="4"/>
      <c r="B2262" s="1"/>
      <c r="C2262" s="2"/>
      <c r="D2262" s="2"/>
      <c r="E2262" s="5">
        <f t="shared" si="74"/>
        <v>0</v>
      </c>
      <c r="F2262" s="6">
        <f t="shared" si="75"/>
        <v>0</v>
      </c>
    </row>
    <row r="2263" spans="1:6" x14ac:dyDescent="0.3">
      <c r="A2263" s="4"/>
      <c r="B2263" s="1"/>
      <c r="C2263" s="2"/>
      <c r="D2263" s="2"/>
      <c r="E2263" s="5">
        <f t="shared" si="74"/>
        <v>0</v>
      </c>
      <c r="F2263" s="6">
        <f t="shared" si="75"/>
        <v>0</v>
      </c>
    </row>
    <row r="2264" spans="1:6" x14ac:dyDescent="0.3">
      <c r="A2264" s="4"/>
      <c r="B2264" s="1"/>
      <c r="C2264" s="2"/>
      <c r="D2264" s="2"/>
      <c r="E2264" s="5">
        <f t="shared" si="74"/>
        <v>0</v>
      </c>
      <c r="F2264" s="6">
        <f t="shared" si="75"/>
        <v>0</v>
      </c>
    </row>
    <row r="2265" spans="1:6" x14ac:dyDescent="0.3">
      <c r="A2265" s="4"/>
      <c r="B2265" s="1"/>
      <c r="C2265" s="2"/>
      <c r="D2265" s="2"/>
      <c r="E2265" s="5">
        <f t="shared" si="74"/>
        <v>0</v>
      </c>
      <c r="F2265" s="6">
        <f t="shared" si="75"/>
        <v>0</v>
      </c>
    </row>
    <row r="2266" spans="1:6" x14ac:dyDescent="0.3">
      <c r="A2266" s="4"/>
      <c r="B2266" s="1"/>
      <c r="C2266" s="2"/>
      <c r="D2266" s="2"/>
      <c r="E2266" s="5">
        <f t="shared" si="74"/>
        <v>0</v>
      </c>
      <c r="F2266" s="6">
        <f t="shared" si="75"/>
        <v>0</v>
      </c>
    </row>
    <row r="2267" spans="1:6" x14ac:dyDescent="0.3">
      <c r="A2267" s="4"/>
      <c r="B2267" s="1"/>
      <c r="C2267" s="2"/>
      <c r="D2267" s="2"/>
      <c r="E2267" s="5">
        <f t="shared" si="74"/>
        <v>0</v>
      </c>
      <c r="F2267" s="6">
        <f t="shared" si="75"/>
        <v>0</v>
      </c>
    </row>
    <row r="2268" spans="1:6" x14ac:dyDescent="0.3">
      <c r="A2268" s="4"/>
      <c r="B2268" s="1"/>
      <c r="C2268" s="2"/>
      <c r="D2268" s="2"/>
      <c r="E2268" s="5">
        <f t="shared" si="74"/>
        <v>0</v>
      </c>
      <c r="F2268" s="6">
        <f t="shared" si="75"/>
        <v>0</v>
      </c>
    </row>
    <row r="2269" spans="1:6" x14ac:dyDescent="0.3">
      <c r="A2269" s="4"/>
      <c r="B2269" s="1"/>
      <c r="C2269" s="2"/>
      <c r="D2269" s="2"/>
      <c r="E2269" s="5">
        <f t="shared" si="74"/>
        <v>0</v>
      </c>
      <c r="F2269" s="6">
        <f t="shared" si="75"/>
        <v>0</v>
      </c>
    </row>
    <row r="2270" spans="1:6" x14ac:dyDescent="0.3">
      <c r="A2270" s="4"/>
      <c r="B2270" s="1"/>
      <c r="C2270" s="2"/>
      <c r="D2270" s="2"/>
      <c r="E2270" s="5">
        <f t="shared" si="74"/>
        <v>0</v>
      </c>
      <c r="F2270" s="6">
        <f t="shared" si="75"/>
        <v>0</v>
      </c>
    </row>
    <row r="2271" spans="1:6" x14ac:dyDescent="0.3">
      <c r="A2271" s="4"/>
      <c r="B2271" s="1"/>
      <c r="C2271" s="2"/>
      <c r="D2271" s="2"/>
      <c r="E2271" s="5">
        <f t="shared" si="74"/>
        <v>0</v>
      </c>
      <c r="F2271" s="6">
        <f t="shared" si="75"/>
        <v>0</v>
      </c>
    </row>
    <row r="2272" spans="1:6" x14ac:dyDescent="0.3">
      <c r="A2272" s="4"/>
      <c r="B2272" s="1"/>
      <c r="C2272" s="2"/>
      <c r="D2272" s="2"/>
      <c r="E2272" s="5">
        <f t="shared" si="74"/>
        <v>0</v>
      </c>
      <c r="F2272" s="6">
        <f t="shared" si="75"/>
        <v>0</v>
      </c>
    </row>
    <row r="2273" spans="1:6" x14ac:dyDescent="0.3">
      <c r="A2273" s="4"/>
      <c r="B2273" s="1"/>
      <c r="C2273" s="2"/>
      <c r="D2273" s="2"/>
      <c r="E2273" s="5">
        <f t="shared" si="74"/>
        <v>0</v>
      </c>
      <c r="F2273" s="6">
        <f t="shared" si="75"/>
        <v>0</v>
      </c>
    </row>
    <row r="2274" spans="1:6" x14ac:dyDescent="0.3">
      <c r="A2274" s="4"/>
      <c r="B2274" s="1"/>
      <c r="C2274" s="2"/>
      <c r="D2274" s="2"/>
      <c r="E2274" s="5">
        <f t="shared" si="74"/>
        <v>0</v>
      </c>
      <c r="F2274" s="6">
        <f t="shared" si="75"/>
        <v>0</v>
      </c>
    </row>
    <row r="2275" spans="1:6" x14ac:dyDescent="0.3">
      <c r="A2275" s="4"/>
      <c r="B2275" s="1"/>
      <c r="C2275" s="2"/>
      <c r="D2275" s="2"/>
      <c r="E2275" s="5">
        <f t="shared" si="74"/>
        <v>0</v>
      </c>
      <c r="F2275" s="6">
        <f t="shared" si="75"/>
        <v>0</v>
      </c>
    </row>
    <row r="2276" spans="1:6" x14ac:dyDescent="0.3">
      <c r="A2276" s="4"/>
      <c r="B2276" s="1"/>
      <c r="C2276" s="2"/>
      <c r="D2276" s="2"/>
      <c r="E2276" s="5">
        <f t="shared" si="74"/>
        <v>0</v>
      </c>
      <c r="F2276" s="6">
        <f t="shared" si="75"/>
        <v>0</v>
      </c>
    </row>
    <row r="2277" spans="1:6" x14ac:dyDescent="0.3">
      <c r="A2277" s="4"/>
      <c r="B2277" s="1"/>
      <c r="C2277" s="2"/>
      <c r="D2277" s="2"/>
      <c r="E2277" s="5">
        <f t="shared" si="74"/>
        <v>0</v>
      </c>
      <c r="F2277" s="6">
        <f t="shared" si="75"/>
        <v>0</v>
      </c>
    </row>
    <row r="2278" spans="1:6" x14ac:dyDescent="0.3">
      <c r="A2278" s="4"/>
      <c r="B2278" s="1"/>
      <c r="C2278" s="2"/>
      <c r="D2278" s="2"/>
      <c r="E2278" s="5">
        <f t="shared" si="74"/>
        <v>0</v>
      </c>
      <c r="F2278" s="6">
        <f t="shared" si="75"/>
        <v>0</v>
      </c>
    </row>
    <row r="2279" spans="1:6" x14ac:dyDescent="0.3">
      <c r="A2279" s="4"/>
      <c r="B2279" s="1"/>
      <c r="C2279" s="2"/>
      <c r="D2279" s="2"/>
      <c r="E2279" s="5">
        <f t="shared" si="74"/>
        <v>0</v>
      </c>
      <c r="F2279" s="6">
        <f t="shared" si="75"/>
        <v>0</v>
      </c>
    </row>
    <row r="2280" spans="1:6" x14ac:dyDescent="0.3">
      <c r="A2280" s="4"/>
      <c r="B2280" s="1"/>
      <c r="C2280" s="2"/>
      <c r="D2280" s="2"/>
      <c r="E2280" s="5">
        <f t="shared" si="74"/>
        <v>0</v>
      </c>
      <c r="F2280" s="6">
        <f t="shared" si="75"/>
        <v>0</v>
      </c>
    </row>
    <row r="2281" spans="1:6" x14ac:dyDescent="0.3">
      <c r="A2281" s="4"/>
      <c r="B2281" s="1"/>
      <c r="C2281" s="2"/>
      <c r="D2281" s="2"/>
      <c r="E2281" s="5">
        <f t="shared" si="74"/>
        <v>0</v>
      </c>
      <c r="F2281" s="6">
        <f t="shared" si="75"/>
        <v>0</v>
      </c>
    </row>
    <row r="2282" spans="1:6" x14ac:dyDescent="0.3">
      <c r="A2282" s="4"/>
      <c r="B2282" s="1"/>
      <c r="C2282" s="2"/>
      <c r="D2282" s="2"/>
      <c r="E2282" s="5">
        <f t="shared" si="74"/>
        <v>0</v>
      </c>
      <c r="F2282" s="6">
        <f t="shared" si="75"/>
        <v>0</v>
      </c>
    </row>
    <row r="2283" spans="1:6" x14ac:dyDescent="0.3">
      <c r="A2283" s="4"/>
      <c r="B2283" s="1"/>
      <c r="C2283" s="2"/>
      <c r="D2283" s="2"/>
      <c r="E2283" s="5">
        <f t="shared" si="74"/>
        <v>0</v>
      </c>
      <c r="F2283" s="6">
        <f t="shared" si="75"/>
        <v>0</v>
      </c>
    </row>
    <row r="2284" spans="1:6" x14ac:dyDescent="0.3">
      <c r="A2284" s="4"/>
      <c r="B2284" s="1"/>
      <c r="C2284" s="2"/>
      <c r="D2284" s="2"/>
      <c r="E2284" s="5">
        <f t="shared" si="74"/>
        <v>0</v>
      </c>
      <c r="F2284" s="6">
        <f t="shared" si="75"/>
        <v>0</v>
      </c>
    </row>
    <row r="2285" spans="1:6" x14ac:dyDescent="0.3">
      <c r="A2285" s="4"/>
      <c r="B2285" s="1"/>
      <c r="C2285" s="2"/>
      <c r="D2285" s="2"/>
      <c r="E2285" s="5">
        <f t="shared" si="74"/>
        <v>0</v>
      </c>
      <c r="F2285" s="6">
        <f t="shared" si="75"/>
        <v>0</v>
      </c>
    </row>
    <row r="2286" spans="1:6" x14ac:dyDescent="0.3">
      <c r="A2286" s="4"/>
      <c r="B2286" s="1"/>
      <c r="C2286" s="2"/>
      <c r="D2286" s="2"/>
      <c r="E2286" s="5">
        <f t="shared" si="74"/>
        <v>0</v>
      </c>
      <c r="F2286" s="6">
        <f t="shared" si="75"/>
        <v>0</v>
      </c>
    </row>
    <row r="2287" spans="1:6" x14ac:dyDescent="0.3">
      <c r="A2287" s="4"/>
      <c r="B2287" s="1"/>
      <c r="C2287" s="2"/>
      <c r="D2287" s="2"/>
      <c r="E2287" s="5">
        <f t="shared" si="74"/>
        <v>0</v>
      </c>
      <c r="F2287" s="6">
        <f t="shared" si="75"/>
        <v>0</v>
      </c>
    </row>
    <row r="2288" spans="1:6" x14ac:dyDescent="0.3">
      <c r="A2288" s="4"/>
      <c r="B2288" s="1"/>
      <c r="C2288" s="2"/>
      <c r="D2288" s="2"/>
      <c r="E2288" s="5">
        <f t="shared" si="74"/>
        <v>0</v>
      </c>
      <c r="F2288" s="6">
        <f t="shared" si="75"/>
        <v>0</v>
      </c>
    </row>
    <row r="2289" spans="1:6" x14ac:dyDescent="0.3">
      <c r="A2289" s="4"/>
      <c r="B2289" s="1"/>
      <c r="C2289" s="2"/>
      <c r="D2289" s="2"/>
      <c r="E2289" s="5">
        <f t="shared" si="74"/>
        <v>0</v>
      </c>
      <c r="F2289" s="6">
        <f t="shared" si="75"/>
        <v>0</v>
      </c>
    </row>
    <row r="2290" spans="1:6" x14ac:dyDescent="0.3">
      <c r="A2290" s="4"/>
      <c r="B2290" s="1"/>
      <c r="C2290" s="2"/>
      <c r="D2290" s="2"/>
      <c r="E2290" s="5">
        <f t="shared" si="74"/>
        <v>0</v>
      </c>
      <c r="F2290" s="6">
        <f t="shared" si="75"/>
        <v>0</v>
      </c>
    </row>
    <row r="2291" spans="1:6" x14ac:dyDescent="0.3">
      <c r="A2291" s="4"/>
      <c r="B2291" s="1"/>
      <c r="C2291" s="2"/>
      <c r="D2291" s="2"/>
      <c r="E2291" s="5">
        <f t="shared" si="74"/>
        <v>0</v>
      </c>
      <c r="F2291" s="6">
        <f t="shared" si="75"/>
        <v>0</v>
      </c>
    </row>
    <row r="2292" spans="1:6" x14ac:dyDescent="0.3">
      <c r="A2292" s="4"/>
      <c r="B2292" s="1"/>
      <c r="C2292" s="2"/>
      <c r="D2292" s="2"/>
      <c r="E2292" s="5">
        <f t="shared" si="74"/>
        <v>0</v>
      </c>
      <c r="F2292" s="6">
        <f t="shared" si="75"/>
        <v>0</v>
      </c>
    </row>
    <row r="2293" spans="1:6" x14ac:dyDescent="0.3">
      <c r="A2293" s="4"/>
      <c r="B2293" s="1"/>
      <c r="C2293" s="2"/>
      <c r="D2293" s="2"/>
      <c r="E2293" s="5">
        <f t="shared" si="74"/>
        <v>0</v>
      </c>
      <c r="F2293" s="6">
        <f t="shared" si="75"/>
        <v>0</v>
      </c>
    </row>
    <row r="2294" spans="1:6" x14ac:dyDescent="0.3">
      <c r="A2294" s="4"/>
      <c r="B2294" s="1"/>
      <c r="C2294" s="2"/>
      <c r="D2294" s="2"/>
      <c r="E2294" s="5">
        <f t="shared" si="74"/>
        <v>0</v>
      </c>
      <c r="F2294" s="6">
        <f t="shared" si="75"/>
        <v>0</v>
      </c>
    </row>
    <row r="2295" spans="1:6" x14ac:dyDescent="0.3">
      <c r="A2295" s="4"/>
      <c r="B2295" s="1"/>
      <c r="C2295" s="2"/>
      <c r="D2295" s="2"/>
      <c r="E2295" s="5">
        <f t="shared" si="74"/>
        <v>0</v>
      </c>
      <c r="F2295" s="6">
        <f t="shared" si="75"/>
        <v>0</v>
      </c>
    </row>
    <row r="2296" spans="1:6" x14ac:dyDescent="0.3">
      <c r="A2296" s="4"/>
      <c r="B2296" s="1"/>
      <c r="C2296" s="2"/>
      <c r="D2296" s="2"/>
      <c r="E2296" s="5">
        <f t="shared" si="74"/>
        <v>0</v>
      </c>
      <c r="F2296" s="6">
        <f t="shared" si="75"/>
        <v>0</v>
      </c>
    </row>
    <row r="2297" spans="1:6" x14ac:dyDescent="0.3">
      <c r="A2297" s="4"/>
      <c r="B2297" s="1"/>
      <c r="C2297" s="2"/>
      <c r="D2297" s="2"/>
      <c r="E2297" s="5">
        <f t="shared" si="74"/>
        <v>0</v>
      </c>
      <c r="F2297" s="6">
        <f t="shared" si="75"/>
        <v>0</v>
      </c>
    </row>
    <row r="2298" spans="1:6" x14ac:dyDescent="0.3">
      <c r="A2298" s="4"/>
      <c r="B2298" s="1"/>
      <c r="C2298" s="2"/>
      <c r="D2298" s="2"/>
      <c r="E2298" s="5">
        <f t="shared" si="74"/>
        <v>0</v>
      </c>
      <c r="F2298" s="6">
        <f t="shared" si="75"/>
        <v>0</v>
      </c>
    </row>
    <row r="2299" spans="1:6" x14ac:dyDescent="0.3">
      <c r="A2299" s="4"/>
      <c r="B2299" s="1"/>
      <c r="C2299" s="2"/>
      <c r="D2299" s="2"/>
      <c r="E2299" s="5">
        <f t="shared" si="74"/>
        <v>0</v>
      </c>
      <c r="F2299" s="6">
        <f t="shared" si="75"/>
        <v>0</v>
      </c>
    </row>
    <row r="2300" spans="1:6" x14ac:dyDescent="0.3">
      <c r="A2300" s="4"/>
      <c r="B2300" s="1"/>
      <c r="C2300" s="2"/>
      <c r="D2300" s="2"/>
      <c r="E2300" s="5">
        <f t="shared" si="74"/>
        <v>0</v>
      </c>
      <c r="F2300" s="6">
        <f t="shared" si="75"/>
        <v>0</v>
      </c>
    </row>
    <row r="2301" spans="1:6" x14ac:dyDescent="0.3">
      <c r="A2301" s="4"/>
      <c r="B2301" s="1"/>
      <c r="C2301" s="2"/>
      <c r="D2301" s="2"/>
      <c r="E2301" s="5">
        <f t="shared" si="74"/>
        <v>0</v>
      </c>
      <c r="F2301" s="6">
        <f t="shared" si="75"/>
        <v>0</v>
      </c>
    </row>
    <row r="2302" spans="1:6" x14ac:dyDescent="0.3">
      <c r="A2302" s="4"/>
      <c r="B2302" s="1"/>
      <c r="C2302" s="2"/>
      <c r="D2302" s="2"/>
      <c r="E2302" s="5">
        <f t="shared" si="74"/>
        <v>0</v>
      </c>
      <c r="F2302" s="6">
        <f t="shared" si="75"/>
        <v>0</v>
      </c>
    </row>
    <row r="2303" spans="1:6" x14ac:dyDescent="0.3">
      <c r="A2303" s="4"/>
      <c r="B2303" s="1"/>
      <c r="C2303" s="2"/>
      <c r="D2303" s="2"/>
      <c r="E2303" s="5">
        <f t="shared" si="74"/>
        <v>0</v>
      </c>
      <c r="F2303" s="6">
        <f t="shared" si="75"/>
        <v>0</v>
      </c>
    </row>
    <row r="2304" spans="1:6" x14ac:dyDescent="0.3">
      <c r="A2304" s="4"/>
      <c r="B2304" s="1"/>
      <c r="C2304" s="2"/>
      <c r="D2304" s="2"/>
      <c r="E2304" s="5">
        <f t="shared" si="74"/>
        <v>0</v>
      </c>
      <c r="F2304" s="6">
        <f t="shared" si="75"/>
        <v>0</v>
      </c>
    </row>
    <row r="2305" spans="1:6" x14ac:dyDescent="0.3">
      <c r="A2305" s="4"/>
      <c r="B2305" s="1"/>
      <c r="C2305" s="2"/>
      <c r="D2305" s="2"/>
      <c r="E2305" s="5">
        <f t="shared" si="74"/>
        <v>0</v>
      </c>
      <c r="F2305" s="6">
        <f t="shared" si="75"/>
        <v>0</v>
      </c>
    </row>
    <row r="2306" spans="1:6" x14ac:dyDescent="0.3">
      <c r="A2306" s="4"/>
      <c r="B2306" s="1"/>
      <c r="C2306" s="2"/>
      <c r="D2306" s="2"/>
      <c r="E2306" s="5">
        <f t="shared" si="74"/>
        <v>0</v>
      </c>
      <c r="F2306" s="6">
        <f t="shared" si="75"/>
        <v>0</v>
      </c>
    </row>
    <row r="2307" spans="1:6" x14ac:dyDescent="0.3">
      <c r="A2307" s="4"/>
      <c r="B2307" s="1"/>
      <c r="C2307" s="2"/>
      <c r="D2307" s="2"/>
      <c r="E2307" s="5">
        <f t="shared" ref="E2307:E2370" si="76">D2307-C2307</f>
        <v>0</v>
      </c>
      <c r="F2307" s="6">
        <f t="shared" ref="F2307:F2370" si="77">ROUND(VALUE(E2307)*4,2)</f>
        <v>0</v>
      </c>
    </row>
    <row r="2308" spans="1:6" x14ac:dyDescent="0.3">
      <c r="A2308" s="4"/>
      <c r="B2308" s="1"/>
      <c r="C2308" s="2"/>
      <c r="D2308" s="2"/>
      <c r="E2308" s="5">
        <f t="shared" si="76"/>
        <v>0</v>
      </c>
      <c r="F2308" s="6">
        <f t="shared" si="77"/>
        <v>0</v>
      </c>
    </row>
    <row r="2309" spans="1:6" x14ac:dyDescent="0.3">
      <c r="A2309" s="4"/>
      <c r="B2309" s="1"/>
      <c r="C2309" s="2"/>
      <c r="D2309" s="2"/>
      <c r="E2309" s="5">
        <f t="shared" si="76"/>
        <v>0</v>
      </c>
      <c r="F2309" s="6">
        <f t="shared" si="77"/>
        <v>0</v>
      </c>
    </row>
    <row r="2310" spans="1:6" x14ac:dyDescent="0.3">
      <c r="A2310" s="4"/>
      <c r="B2310" s="1"/>
      <c r="C2310" s="2"/>
      <c r="D2310" s="2"/>
      <c r="E2310" s="5">
        <f t="shared" si="76"/>
        <v>0</v>
      </c>
      <c r="F2310" s="6">
        <f t="shared" si="77"/>
        <v>0</v>
      </c>
    </row>
    <row r="2311" spans="1:6" x14ac:dyDescent="0.3">
      <c r="A2311" s="4"/>
      <c r="B2311" s="1"/>
      <c r="C2311" s="2"/>
      <c r="D2311" s="2"/>
      <c r="E2311" s="5">
        <f t="shared" si="76"/>
        <v>0</v>
      </c>
      <c r="F2311" s="6">
        <f t="shared" si="77"/>
        <v>0</v>
      </c>
    </row>
    <row r="2312" spans="1:6" x14ac:dyDescent="0.3">
      <c r="A2312" s="4"/>
      <c r="B2312" s="1"/>
      <c r="C2312" s="2"/>
      <c r="D2312" s="2"/>
      <c r="E2312" s="5">
        <f t="shared" si="76"/>
        <v>0</v>
      </c>
      <c r="F2312" s="6">
        <f t="shared" si="77"/>
        <v>0</v>
      </c>
    </row>
    <row r="2313" spans="1:6" x14ac:dyDescent="0.3">
      <c r="A2313" s="4"/>
      <c r="B2313" s="1"/>
      <c r="C2313" s="2"/>
      <c r="D2313" s="2"/>
      <c r="E2313" s="5">
        <f t="shared" si="76"/>
        <v>0</v>
      </c>
      <c r="F2313" s="6">
        <f t="shared" si="77"/>
        <v>0</v>
      </c>
    </row>
    <row r="2314" spans="1:6" x14ac:dyDescent="0.3">
      <c r="A2314" s="4"/>
      <c r="B2314" s="1"/>
      <c r="C2314" s="2"/>
      <c r="D2314" s="2"/>
      <c r="E2314" s="5">
        <f t="shared" si="76"/>
        <v>0</v>
      </c>
      <c r="F2314" s="6">
        <f t="shared" si="77"/>
        <v>0</v>
      </c>
    </row>
    <row r="2315" spans="1:6" x14ac:dyDescent="0.3">
      <c r="A2315" s="4"/>
      <c r="B2315" s="1"/>
      <c r="C2315" s="2"/>
      <c r="D2315" s="2"/>
      <c r="E2315" s="5">
        <f t="shared" si="76"/>
        <v>0</v>
      </c>
      <c r="F2315" s="6">
        <f t="shared" si="77"/>
        <v>0</v>
      </c>
    </row>
    <row r="2316" spans="1:6" x14ac:dyDescent="0.3">
      <c r="A2316" s="4"/>
      <c r="B2316" s="1"/>
      <c r="C2316" s="2"/>
      <c r="D2316" s="2"/>
      <c r="E2316" s="5">
        <f t="shared" si="76"/>
        <v>0</v>
      </c>
      <c r="F2316" s="6">
        <f t="shared" si="77"/>
        <v>0</v>
      </c>
    </row>
    <row r="2317" spans="1:6" x14ac:dyDescent="0.3">
      <c r="A2317" s="4"/>
      <c r="B2317" s="1"/>
      <c r="C2317" s="2"/>
      <c r="D2317" s="2"/>
      <c r="E2317" s="5">
        <f t="shared" si="76"/>
        <v>0</v>
      </c>
      <c r="F2317" s="6">
        <f t="shared" si="77"/>
        <v>0</v>
      </c>
    </row>
    <row r="2318" spans="1:6" x14ac:dyDescent="0.3">
      <c r="A2318" s="4"/>
      <c r="B2318" s="1"/>
      <c r="C2318" s="2"/>
      <c r="D2318" s="2"/>
      <c r="E2318" s="5">
        <f t="shared" si="76"/>
        <v>0</v>
      </c>
      <c r="F2318" s="6">
        <f t="shared" si="77"/>
        <v>0</v>
      </c>
    </row>
    <row r="2319" spans="1:6" x14ac:dyDescent="0.3">
      <c r="A2319" s="4"/>
      <c r="B2319" s="1"/>
      <c r="C2319" s="2"/>
      <c r="D2319" s="2"/>
      <c r="E2319" s="5">
        <f t="shared" si="76"/>
        <v>0</v>
      </c>
      <c r="F2319" s="6">
        <f t="shared" si="77"/>
        <v>0</v>
      </c>
    </row>
    <row r="2320" spans="1:6" x14ac:dyDescent="0.3">
      <c r="A2320" s="4"/>
      <c r="B2320" s="1"/>
      <c r="C2320" s="2"/>
      <c r="D2320" s="2"/>
      <c r="E2320" s="5">
        <f t="shared" si="76"/>
        <v>0</v>
      </c>
      <c r="F2320" s="6">
        <f t="shared" si="77"/>
        <v>0</v>
      </c>
    </row>
    <row r="2321" spans="1:6" x14ac:dyDescent="0.3">
      <c r="A2321" s="4"/>
      <c r="B2321" s="1"/>
      <c r="C2321" s="2"/>
      <c r="D2321" s="2"/>
      <c r="E2321" s="5">
        <f t="shared" si="76"/>
        <v>0</v>
      </c>
      <c r="F2321" s="6">
        <f t="shared" si="77"/>
        <v>0</v>
      </c>
    </row>
    <row r="2322" spans="1:6" x14ac:dyDescent="0.3">
      <c r="A2322" s="4"/>
      <c r="B2322" s="1"/>
      <c r="C2322" s="2"/>
      <c r="D2322" s="2"/>
      <c r="E2322" s="5">
        <f t="shared" si="76"/>
        <v>0</v>
      </c>
      <c r="F2322" s="6">
        <f t="shared" si="77"/>
        <v>0</v>
      </c>
    </row>
    <row r="2323" spans="1:6" x14ac:dyDescent="0.3">
      <c r="A2323" s="4"/>
      <c r="B2323" s="1"/>
      <c r="C2323" s="2"/>
      <c r="D2323" s="2"/>
      <c r="E2323" s="5">
        <f t="shared" si="76"/>
        <v>0</v>
      </c>
      <c r="F2323" s="6">
        <f t="shared" si="77"/>
        <v>0</v>
      </c>
    </row>
    <row r="2324" spans="1:6" x14ac:dyDescent="0.3">
      <c r="A2324" s="4"/>
      <c r="B2324" s="1"/>
      <c r="C2324" s="2"/>
      <c r="D2324" s="2"/>
      <c r="E2324" s="5">
        <f t="shared" si="76"/>
        <v>0</v>
      </c>
      <c r="F2324" s="6">
        <f t="shared" si="77"/>
        <v>0</v>
      </c>
    </row>
    <row r="2325" spans="1:6" x14ac:dyDescent="0.3">
      <c r="A2325" s="4"/>
      <c r="B2325" s="1"/>
      <c r="C2325" s="2"/>
      <c r="D2325" s="2"/>
      <c r="E2325" s="5">
        <f t="shared" si="76"/>
        <v>0</v>
      </c>
      <c r="F2325" s="6">
        <f t="shared" si="77"/>
        <v>0</v>
      </c>
    </row>
    <row r="2326" spans="1:6" x14ac:dyDescent="0.3">
      <c r="A2326" s="4"/>
      <c r="B2326" s="1"/>
      <c r="C2326" s="2"/>
      <c r="D2326" s="2"/>
      <c r="E2326" s="5">
        <f t="shared" si="76"/>
        <v>0</v>
      </c>
      <c r="F2326" s="6">
        <f t="shared" si="77"/>
        <v>0</v>
      </c>
    </row>
    <row r="2327" spans="1:6" x14ac:dyDescent="0.3">
      <c r="A2327" s="4"/>
      <c r="B2327" s="1"/>
      <c r="C2327" s="2"/>
      <c r="D2327" s="2"/>
      <c r="E2327" s="5">
        <f t="shared" si="76"/>
        <v>0</v>
      </c>
      <c r="F2327" s="6">
        <f t="shared" si="77"/>
        <v>0</v>
      </c>
    </row>
    <row r="2328" spans="1:6" x14ac:dyDescent="0.3">
      <c r="A2328" s="4"/>
      <c r="B2328" s="1"/>
      <c r="C2328" s="2"/>
      <c r="D2328" s="2"/>
      <c r="E2328" s="5">
        <f t="shared" si="76"/>
        <v>0</v>
      </c>
      <c r="F2328" s="6">
        <f t="shared" si="77"/>
        <v>0</v>
      </c>
    </row>
    <row r="2329" spans="1:6" x14ac:dyDescent="0.3">
      <c r="A2329" s="4"/>
      <c r="B2329" s="1"/>
      <c r="C2329" s="2"/>
      <c r="D2329" s="2"/>
      <c r="E2329" s="5">
        <f t="shared" si="76"/>
        <v>0</v>
      </c>
      <c r="F2329" s="6">
        <f t="shared" si="77"/>
        <v>0</v>
      </c>
    </row>
    <row r="2330" spans="1:6" x14ac:dyDescent="0.3">
      <c r="A2330" s="4"/>
      <c r="B2330" s="1"/>
      <c r="C2330" s="2"/>
      <c r="D2330" s="2"/>
      <c r="E2330" s="5">
        <f t="shared" si="76"/>
        <v>0</v>
      </c>
      <c r="F2330" s="6">
        <f t="shared" si="77"/>
        <v>0</v>
      </c>
    </row>
    <row r="2331" spans="1:6" x14ac:dyDescent="0.3">
      <c r="A2331" s="4"/>
      <c r="B2331" s="1"/>
      <c r="C2331" s="2"/>
      <c r="D2331" s="2"/>
      <c r="E2331" s="5">
        <f t="shared" si="76"/>
        <v>0</v>
      </c>
      <c r="F2331" s="6">
        <f t="shared" si="77"/>
        <v>0</v>
      </c>
    </row>
    <row r="2332" spans="1:6" x14ac:dyDescent="0.3">
      <c r="A2332" s="4"/>
      <c r="B2332" s="1"/>
      <c r="C2332" s="2"/>
      <c r="D2332" s="2"/>
      <c r="E2332" s="5">
        <f t="shared" si="76"/>
        <v>0</v>
      </c>
      <c r="F2332" s="6">
        <f t="shared" si="77"/>
        <v>0</v>
      </c>
    </row>
    <row r="2333" spans="1:6" x14ac:dyDescent="0.3">
      <c r="A2333" s="4"/>
      <c r="B2333" s="1"/>
      <c r="C2333" s="2"/>
      <c r="D2333" s="2"/>
      <c r="E2333" s="5">
        <f t="shared" si="76"/>
        <v>0</v>
      </c>
      <c r="F2333" s="6">
        <f t="shared" si="77"/>
        <v>0</v>
      </c>
    </row>
    <row r="2334" spans="1:6" x14ac:dyDescent="0.3">
      <c r="A2334" s="4"/>
      <c r="B2334" s="1"/>
      <c r="C2334" s="2"/>
      <c r="D2334" s="2"/>
      <c r="E2334" s="5">
        <f t="shared" si="76"/>
        <v>0</v>
      </c>
      <c r="F2334" s="6">
        <f t="shared" si="77"/>
        <v>0</v>
      </c>
    </row>
    <row r="2335" spans="1:6" x14ac:dyDescent="0.3">
      <c r="A2335" s="4"/>
      <c r="B2335" s="1"/>
      <c r="C2335" s="2"/>
      <c r="D2335" s="2"/>
      <c r="E2335" s="5">
        <f t="shared" si="76"/>
        <v>0</v>
      </c>
      <c r="F2335" s="6">
        <f t="shared" si="77"/>
        <v>0</v>
      </c>
    </row>
    <row r="2336" spans="1:6" x14ac:dyDescent="0.3">
      <c r="A2336" s="4"/>
      <c r="B2336" s="1"/>
      <c r="C2336" s="2"/>
      <c r="D2336" s="2"/>
      <c r="E2336" s="5">
        <f t="shared" si="76"/>
        <v>0</v>
      </c>
      <c r="F2336" s="6">
        <f t="shared" si="77"/>
        <v>0</v>
      </c>
    </row>
    <row r="2337" spans="1:6" x14ac:dyDescent="0.3">
      <c r="A2337" s="4"/>
      <c r="B2337" s="1"/>
      <c r="C2337" s="2"/>
      <c r="D2337" s="2"/>
      <c r="E2337" s="5">
        <f t="shared" si="76"/>
        <v>0</v>
      </c>
      <c r="F2337" s="6">
        <f t="shared" si="77"/>
        <v>0</v>
      </c>
    </row>
    <row r="2338" spans="1:6" x14ac:dyDescent="0.3">
      <c r="A2338" s="4"/>
      <c r="B2338" s="1"/>
      <c r="C2338" s="2"/>
      <c r="D2338" s="2"/>
      <c r="E2338" s="5">
        <f t="shared" si="76"/>
        <v>0</v>
      </c>
      <c r="F2338" s="6">
        <f t="shared" si="77"/>
        <v>0</v>
      </c>
    </row>
    <row r="2339" spans="1:6" x14ac:dyDescent="0.3">
      <c r="A2339" s="4"/>
      <c r="B2339" s="1"/>
      <c r="C2339" s="2"/>
      <c r="D2339" s="2"/>
      <c r="E2339" s="5">
        <f t="shared" si="76"/>
        <v>0</v>
      </c>
      <c r="F2339" s="6">
        <f t="shared" si="77"/>
        <v>0</v>
      </c>
    </row>
    <row r="2340" spans="1:6" x14ac:dyDescent="0.3">
      <c r="A2340" s="4"/>
      <c r="B2340" s="1"/>
      <c r="C2340" s="2"/>
      <c r="D2340" s="2"/>
      <c r="E2340" s="5">
        <f t="shared" si="76"/>
        <v>0</v>
      </c>
      <c r="F2340" s="6">
        <f t="shared" si="77"/>
        <v>0</v>
      </c>
    </row>
    <row r="2341" spans="1:6" x14ac:dyDescent="0.3">
      <c r="A2341" s="4"/>
      <c r="B2341" s="1"/>
      <c r="C2341" s="2"/>
      <c r="D2341" s="2"/>
      <c r="E2341" s="5">
        <f t="shared" si="76"/>
        <v>0</v>
      </c>
      <c r="F2341" s="6">
        <f t="shared" si="77"/>
        <v>0</v>
      </c>
    </row>
    <row r="2342" spans="1:6" x14ac:dyDescent="0.3">
      <c r="A2342" s="4"/>
      <c r="B2342" s="1"/>
      <c r="C2342" s="2"/>
      <c r="D2342" s="2"/>
      <c r="E2342" s="5">
        <f t="shared" si="76"/>
        <v>0</v>
      </c>
      <c r="F2342" s="6">
        <f t="shared" si="77"/>
        <v>0</v>
      </c>
    </row>
    <row r="2343" spans="1:6" x14ac:dyDescent="0.3">
      <c r="A2343" s="4"/>
      <c r="B2343" s="1"/>
      <c r="C2343" s="2"/>
      <c r="D2343" s="2"/>
      <c r="E2343" s="5">
        <f t="shared" si="76"/>
        <v>0</v>
      </c>
      <c r="F2343" s="6">
        <f t="shared" si="77"/>
        <v>0</v>
      </c>
    </row>
    <row r="2344" spans="1:6" x14ac:dyDescent="0.3">
      <c r="A2344" s="4"/>
      <c r="B2344" s="1"/>
      <c r="C2344" s="2"/>
      <c r="D2344" s="2"/>
      <c r="E2344" s="5">
        <f t="shared" si="76"/>
        <v>0</v>
      </c>
      <c r="F2344" s="6">
        <f t="shared" si="77"/>
        <v>0</v>
      </c>
    </row>
    <row r="2345" spans="1:6" x14ac:dyDescent="0.3">
      <c r="A2345" s="4"/>
      <c r="B2345" s="1"/>
      <c r="C2345" s="2"/>
      <c r="D2345" s="2"/>
      <c r="E2345" s="5">
        <f t="shared" si="76"/>
        <v>0</v>
      </c>
      <c r="F2345" s="6">
        <f t="shared" si="77"/>
        <v>0</v>
      </c>
    </row>
    <row r="2346" spans="1:6" x14ac:dyDescent="0.3">
      <c r="A2346" s="4"/>
      <c r="B2346" s="1"/>
      <c r="C2346" s="2"/>
      <c r="D2346" s="2"/>
      <c r="E2346" s="5">
        <f t="shared" si="76"/>
        <v>0</v>
      </c>
      <c r="F2346" s="6">
        <f t="shared" si="77"/>
        <v>0</v>
      </c>
    </row>
    <row r="2347" spans="1:6" x14ac:dyDescent="0.3">
      <c r="A2347" s="4"/>
      <c r="B2347" s="1"/>
      <c r="C2347" s="2"/>
      <c r="D2347" s="2"/>
      <c r="E2347" s="5">
        <f t="shared" si="76"/>
        <v>0</v>
      </c>
      <c r="F2347" s="6">
        <f t="shared" si="77"/>
        <v>0</v>
      </c>
    </row>
    <row r="2348" spans="1:6" x14ac:dyDescent="0.3">
      <c r="A2348" s="4"/>
      <c r="B2348" s="1"/>
      <c r="C2348" s="2"/>
      <c r="D2348" s="2"/>
      <c r="E2348" s="5">
        <f t="shared" si="76"/>
        <v>0</v>
      </c>
      <c r="F2348" s="6">
        <f t="shared" si="77"/>
        <v>0</v>
      </c>
    </row>
    <row r="2349" spans="1:6" x14ac:dyDescent="0.3">
      <c r="A2349" s="4"/>
      <c r="B2349" s="1"/>
      <c r="C2349" s="2"/>
      <c r="D2349" s="2"/>
      <c r="E2349" s="5">
        <f t="shared" si="76"/>
        <v>0</v>
      </c>
      <c r="F2349" s="6">
        <f t="shared" si="77"/>
        <v>0</v>
      </c>
    </row>
    <row r="2350" spans="1:6" x14ac:dyDescent="0.3">
      <c r="A2350" s="4"/>
      <c r="B2350" s="1"/>
      <c r="C2350" s="2"/>
      <c r="D2350" s="2"/>
      <c r="E2350" s="5">
        <f t="shared" si="76"/>
        <v>0</v>
      </c>
      <c r="F2350" s="6">
        <f t="shared" si="77"/>
        <v>0</v>
      </c>
    </row>
    <row r="2351" spans="1:6" x14ac:dyDescent="0.3">
      <c r="A2351" s="4"/>
      <c r="B2351" s="1"/>
      <c r="C2351" s="2"/>
      <c r="D2351" s="2"/>
      <c r="E2351" s="5">
        <f t="shared" si="76"/>
        <v>0</v>
      </c>
      <c r="F2351" s="6">
        <f t="shared" si="77"/>
        <v>0</v>
      </c>
    </row>
    <row r="2352" spans="1:6" x14ac:dyDescent="0.3">
      <c r="A2352" s="4"/>
      <c r="B2352" s="1"/>
      <c r="C2352" s="2"/>
      <c r="D2352" s="2"/>
      <c r="E2352" s="5">
        <f t="shared" si="76"/>
        <v>0</v>
      </c>
      <c r="F2352" s="6">
        <f t="shared" si="77"/>
        <v>0</v>
      </c>
    </row>
    <row r="2353" spans="1:6" x14ac:dyDescent="0.3">
      <c r="A2353" s="4"/>
      <c r="B2353" s="1"/>
      <c r="C2353" s="2"/>
      <c r="D2353" s="2"/>
      <c r="E2353" s="5">
        <f t="shared" si="76"/>
        <v>0</v>
      </c>
      <c r="F2353" s="6">
        <f t="shared" si="77"/>
        <v>0</v>
      </c>
    </row>
    <row r="2354" spans="1:6" x14ac:dyDescent="0.3">
      <c r="A2354" s="4"/>
      <c r="B2354" s="1"/>
      <c r="C2354" s="2"/>
      <c r="D2354" s="2"/>
      <c r="E2354" s="5">
        <f t="shared" si="76"/>
        <v>0</v>
      </c>
      <c r="F2354" s="6">
        <f t="shared" si="77"/>
        <v>0</v>
      </c>
    </row>
    <row r="2355" spans="1:6" x14ac:dyDescent="0.3">
      <c r="A2355" s="4"/>
      <c r="B2355" s="1"/>
      <c r="C2355" s="2"/>
      <c r="D2355" s="2"/>
      <c r="E2355" s="5">
        <f t="shared" si="76"/>
        <v>0</v>
      </c>
      <c r="F2355" s="6">
        <f t="shared" si="77"/>
        <v>0</v>
      </c>
    </row>
    <row r="2356" spans="1:6" x14ac:dyDescent="0.3">
      <c r="A2356" s="4"/>
      <c r="B2356" s="1"/>
      <c r="C2356" s="2"/>
      <c r="D2356" s="2"/>
      <c r="E2356" s="5">
        <f t="shared" si="76"/>
        <v>0</v>
      </c>
      <c r="F2356" s="6">
        <f t="shared" si="77"/>
        <v>0</v>
      </c>
    </row>
    <row r="2357" spans="1:6" x14ac:dyDescent="0.3">
      <c r="A2357" s="4"/>
      <c r="B2357" s="1"/>
      <c r="C2357" s="2"/>
      <c r="D2357" s="2"/>
      <c r="E2357" s="5">
        <f t="shared" si="76"/>
        <v>0</v>
      </c>
      <c r="F2357" s="6">
        <f t="shared" si="77"/>
        <v>0</v>
      </c>
    </row>
    <row r="2358" spans="1:6" x14ac:dyDescent="0.3">
      <c r="A2358" s="4"/>
      <c r="B2358" s="1"/>
      <c r="C2358" s="2"/>
      <c r="D2358" s="2"/>
      <c r="E2358" s="5">
        <f t="shared" si="76"/>
        <v>0</v>
      </c>
      <c r="F2358" s="6">
        <f t="shared" si="77"/>
        <v>0</v>
      </c>
    </row>
    <row r="2359" spans="1:6" x14ac:dyDescent="0.3">
      <c r="A2359" s="4"/>
      <c r="B2359" s="1"/>
      <c r="C2359" s="2"/>
      <c r="D2359" s="2"/>
      <c r="E2359" s="5">
        <f t="shared" si="76"/>
        <v>0</v>
      </c>
      <c r="F2359" s="6">
        <f t="shared" si="77"/>
        <v>0</v>
      </c>
    </row>
    <row r="2360" spans="1:6" x14ac:dyDescent="0.3">
      <c r="A2360" s="4"/>
      <c r="B2360" s="1"/>
      <c r="C2360" s="2"/>
      <c r="D2360" s="2"/>
      <c r="E2360" s="5">
        <f t="shared" si="76"/>
        <v>0</v>
      </c>
      <c r="F2360" s="6">
        <f t="shared" si="77"/>
        <v>0</v>
      </c>
    </row>
    <row r="2361" spans="1:6" x14ac:dyDescent="0.3">
      <c r="A2361" s="4"/>
      <c r="B2361" s="1"/>
      <c r="C2361" s="2"/>
      <c r="D2361" s="2"/>
      <c r="E2361" s="5">
        <f t="shared" si="76"/>
        <v>0</v>
      </c>
      <c r="F2361" s="6">
        <f t="shared" si="77"/>
        <v>0</v>
      </c>
    </row>
    <row r="2362" spans="1:6" x14ac:dyDescent="0.3">
      <c r="A2362" s="4"/>
      <c r="B2362" s="1"/>
      <c r="C2362" s="2"/>
      <c r="D2362" s="2"/>
      <c r="E2362" s="5">
        <f t="shared" si="76"/>
        <v>0</v>
      </c>
      <c r="F2362" s="6">
        <f t="shared" si="77"/>
        <v>0</v>
      </c>
    </row>
    <row r="2363" spans="1:6" x14ac:dyDescent="0.3">
      <c r="A2363" s="4"/>
      <c r="B2363" s="1"/>
      <c r="C2363" s="2"/>
      <c r="D2363" s="2"/>
      <c r="E2363" s="5">
        <f t="shared" si="76"/>
        <v>0</v>
      </c>
      <c r="F2363" s="6">
        <f t="shared" si="77"/>
        <v>0</v>
      </c>
    </row>
    <row r="2364" spans="1:6" x14ac:dyDescent="0.3">
      <c r="A2364" s="4"/>
      <c r="B2364" s="1"/>
      <c r="C2364" s="2"/>
      <c r="D2364" s="2"/>
      <c r="E2364" s="5">
        <f t="shared" si="76"/>
        <v>0</v>
      </c>
      <c r="F2364" s="6">
        <f t="shared" si="77"/>
        <v>0</v>
      </c>
    </row>
    <row r="2365" spans="1:6" x14ac:dyDescent="0.3">
      <c r="A2365" s="4"/>
      <c r="B2365" s="1"/>
      <c r="C2365" s="2"/>
      <c r="D2365" s="2"/>
      <c r="E2365" s="5">
        <f t="shared" si="76"/>
        <v>0</v>
      </c>
      <c r="F2365" s="6">
        <f t="shared" si="77"/>
        <v>0</v>
      </c>
    </row>
    <row r="2366" spans="1:6" x14ac:dyDescent="0.3">
      <c r="A2366" s="4"/>
      <c r="B2366" s="1"/>
      <c r="C2366" s="2"/>
      <c r="D2366" s="2"/>
      <c r="E2366" s="5">
        <f t="shared" si="76"/>
        <v>0</v>
      </c>
      <c r="F2366" s="6">
        <f t="shared" si="77"/>
        <v>0</v>
      </c>
    </row>
    <row r="2367" spans="1:6" x14ac:dyDescent="0.3">
      <c r="A2367" s="4"/>
      <c r="B2367" s="1"/>
      <c r="C2367" s="2"/>
      <c r="D2367" s="2"/>
      <c r="E2367" s="5">
        <f t="shared" si="76"/>
        <v>0</v>
      </c>
      <c r="F2367" s="6">
        <f t="shared" si="77"/>
        <v>0</v>
      </c>
    </row>
    <row r="2368" spans="1:6" x14ac:dyDescent="0.3">
      <c r="A2368" s="4"/>
      <c r="B2368" s="1"/>
      <c r="C2368" s="2"/>
      <c r="D2368" s="2"/>
      <c r="E2368" s="5">
        <f t="shared" si="76"/>
        <v>0</v>
      </c>
      <c r="F2368" s="6">
        <f t="shared" si="77"/>
        <v>0</v>
      </c>
    </row>
    <row r="2369" spans="1:6" x14ac:dyDescent="0.3">
      <c r="A2369" s="4"/>
      <c r="B2369" s="1"/>
      <c r="C2369" s="2"/>
      <c r="D2369" s="2"/>
      <c r="E2369" s="5">
        <f t="shared" si="76"/>
        <v>0</v>
      </c>
      <c r="F2369" s="6">
        <f t="shared" si="77"/>
        <v>0</v>
      </c>
    </row>
    <row r="2370" spans="1:6" x14ac:dyDescent="0.3">
      <c r="A2370" s="4"/>
      <c r="B2370" s="1"/>
      <c r="C2370" s="2"/>
      <c r="D2370" s="2"/>
      <c r="E2370" s="5">
        <f t="shared" si="76"/>
        <v>0</v>
      </c>
      <c r="F2370" s="6">
        <f t="shared" si="77"/>
        <v>0</v>
      </c>
    </row>
    <row r="2371" spans="1:6" x14ac:dyDescent="0.3">
      <c r="A2371" s="4"/>
      <c r="B2371" s="1"/>
      <c r="C2371" s="2"/>
      <c r="D2371" s="2"/>
      <c r="E2371" s="5">
        <f t="shared" ref="E2371:E2434" si="78">D2371-C2371</f>
        <v>0</v>
      </c>
      <c r="F2371" s="6">
        <f t="shared" ref="F2371:F2434" si="79">ROUND(VALUE(E2371)*4,2)</f>
        <v>0</v>
      </c>
    </row>
    <row r="2372" spans="1:6" x14ac:dyDescent="0.3">
      <c r="A2372" s="4"/>
      <c r="B2372" s="1"/>
      <c r="C2372" s="2"/>
      <c r="D2372" s="2"/>
      <c r="E2372" s="5">
        <f t="shared" si="78"/>
        <v>0</v>
      </c>
      <c r="F2372" s="6">
        <f t="shared" si="79"/>
        <v>0</v>
      </c>
    </row>
    <row r="2373" spans="1:6" x14ac:dyDescent="0.3">
      <c r="A2373" s="4"/>
      <c r="B2373" s="1"/>
      <c r="C2373" s="2"/>
      <c r="D2373" s="2"/>
      <c r="E2373" s="5">
        <f t="shared" si="78"/>
        <v>0</v>
      </c>
      <c r="F2373" s="6">
        <f t="shared" si="79"/>
        <v>0</v>
      </c>
    </row>
    <row r="2374" spans="1:6" x14ac:dyDescent="0.3">
      <c r="A2374" s="4"/>
      <c r="B2374" s="1"/>
      <c r="C2374" s="2"/>
      <c r="D2374" s="2"/>
      <c r="E2374" s="5">
        <f t="shared" si="78"/>
        <v>0</v>
      </c>
      <c r="F2374" s="6">
        <f t="shared" si="79"/>
        <v>0</v>
      </c>
    </row>
    <row r="2375" spans="1:6" x14ac:dyDescent="0.3">
      <c r="A2375" s="4"/>
      <c r="B2375" s="1"/>
      <c r="C2375" s="2"/>
      <c r="D2375" s="2"/>
      <c r="E2375" s="5">
        <f t="shared" si="78"/>
        <v>0</v>
      </c>
      <c r="F2375" s="6">
        <f t="shared" si="79"/>
        <v>0</v>
      </c>
    </row>
    <row r="2376" spans="1:6" x14ac:dyDescent="0.3">
      <c r="A2376" s="4"/>
      <c r="B2376" s="1"/>
      <c r="C2376" s="2"/>
      <c r="D2376" s="2"/>
      <c r="E2376" s="5">
        <f t="shared" si="78"/>
        <v>0</v>
      </c>
      <c r="F2376" s="6">
        <f t="shared" si="79"/>
        <v>0</v>
      </c>
    </row>
    <row r="2377" spans="1:6" x14ac:dyDescent="0.3">
      <c r="A2377" s="4"/>
      <c r="B2377" s="1"/>
      <c r="C2377" s="2"/>
      <c r="D2377" s="2"/>
      <c r="E2377" s="5">
        <f t="shared" si="78"/>
        <v>0</v>
      </c>
      <c r="F2377" s="6">
        <f t="shared" si="79"/>
        <v>0</v>
      </c>
    </row>
    <row r="2378" spans="1:6" x14ac:dyDescent="0.3">
      <c r="A2378" s="4"/>
      <c r="B2378" s="1"/>
      <c r="C2378" s="2"/>
      <c r="D2378" s="2"/>
      <c r="E2378" s="5">
        <f t="shared" si="78"/>
        <v>0</v>
      </c>
      <c r="F2378" s="6">
        <f t="shared" si="79"/>
        <v>0</v>
      </c>
    </row>
    <row r="2379" spans="1:6" x14ac:dyDescent="0.3">
      <c r="A2379" s="4"/>
      <c r="B2379" s="1"/>
      <c r="C2379" s="2"/>
      <c r="D2379" s="2"/>
      <c r="E2379" s="5">
        <f t="shared" si="78"/>
        <v>0</v>
      </c>
      <c r="F2379" s="6">
        <f t="shared" si="79"/>
        <v>0</v>
      </c>
    </row>
    <row r="2380" spans="1:6" x14ac:dyDescent="0.3">
      <c r="A2380" s="4"/>
      <c r="B2380" s="1"/>
      <c r="C2380" s="2"/>
      <c r="D2380" s="2"/>
      <c r="E2380" s="5">
        <f t="shared" si="78"/>
        <v>0</v>
      </c>
      <c r="F2380" s="6">
        <f t="shared" si="79"/>
        <v>0</v>
      </c>
    </row>
    <row r="2381" spans="1:6" x14ac:dyDescent="0.3">
      <c r="A2381" s="4"/>
      <c r="B2381" s="1"/>
      <c r="C2381" s="2"/>
      <c r="D2381" s="2"/>
      <c r="E2381" s="5">
        <f t="shared" si="78"/>
        <v>0</v>
      </c>
      <c r="F2381" s="6">
        <f t="shared" si="79"/>
        <v>0</v>
      </c>
    </row>
    <row r="2382" spans="1:6" x14ac:dyDescent="0.3">
      <c r="A2382" s="4"/>
      <c r="B2382" s="1"/>
      <c r="C2382" s="2"/>
      <c r="D2382" s="2"/>
      <c r="E2382" s="5">
        <f t="shared" si="78"/>
        <v>0</v>
      </c>
      <c r="F2382" s="6">
        <f t="shared" si="79"/>
        <v>0</v>
      </c>
    </row>
    <row r="2383" spans="1:6" x14ac:dyDescent="0.3">
      <c r="A2383" s="4"/>
      <c r="B2383" s="1"/>
      <c r="C2383" s="2"/>
      <c r="D2383" s="2"/>
      <c r="E2383" s="5">
        <f t="shared" si="78"/>
        <v>0</v>
      </c>
      <c r="F2383" s="6">
        <f t="shared" si="79"/>
        <v>0</v>
      </c>
    </row>
    <row r="2384" spans="1:6" x14ac:dyDescent="0.3">
      <c r="A2384" s="4"/>
      <c r="B2384" s="1"/>
      <c r="C2384" s="2"/>
      <c r="D2384" s="2"/>
      <c r="E2384" s="5">
        <f t="shared" si="78"/>
        <v>0</v>
      </c>
      <c r="F2384" s="6">
        <f t="shared" si="79"/>
        <v>0</v>
      </c>
    </row>
    <row r="2385" spans="1:6" x14ac:dyDescent="0.3">
      <c r="A2385" s="4"/>
      <c r="B2385" s="1"/>
      <c r="C2385" s="2"/>
      <c r="D2385" s="2"/>
      <c r="E2385" s="5">
        <f t="shared" si="78"/>
        <v>0</v>
      </c>
      <c r="F2385" s="6">
        <f t="shared" si="79"/>
        <v>0</v>
      </c>
    </row>
    <row r="2386" spans="1:6" x14ac:dyDescent="0.3">
      <c r="A2386" s="4"/>
      <c r="B2386" s="1"/>
      <c r="C2386" s="2"/>
      <c r="D2386" s="2"/>
      <c r="E2386" s="5">
        <f t="shared" si="78"/>
        <v>0</v>
      </c>
      <c r="F2386" s="6">
        <f t="shared" si="79"/>
        <v>0</v>
      </c>
    </row>
    <row r="2387" spans="1:6" x14ac:dyDescent="0.3">
      <c r="A2387" s="4"/>
      <c r="B2387" s="1"/>
      <c r="C2387" s="2"/>
      <c r="D2387" s="2"/>
      <c r="E2387" s="5">
        <f t="shared" si="78"/>
        <v>0</v>
      </c>
      <c r="F2387" s="6">
        <f t="shared" si="79"/>
        <v>0</v>
      </c>
    </row>
    <row r="2388" spans="1:6" x14ac:dyDescent="0.3">
      <c r="A2388" s="4"/>
      <c r="B2388" s="1"/>
      <c r="C2388" s="2"/>
      <c r="D2388" s="2"/>
      <c r="E2388" s="5">
        <f t="shared" si="78"/>
        <v>0</v>
      </c>
      <c r="F2388" s="6">
        <f t="shared" si="79"/>
        <v>0</v>
      </c>
    </row>
    <row r="2389" spans="1:6" x14ac:dyDescent="0.3">
      <c r="A2389" s="4"/>
      <c r="B2389" s="1"/>
      <c r="C2389" s="2"/>
      <c r="D2389" s="2"/>
      <c r="E2389" s="5">
        <f t="shared" si="78"/>
        <v>0</v>
      </c>
      <c r="F2389" s="6">
        <f t="shared" si="79"/>
        <v>0</v>
      </c>
    </row>
    <row r="2390" spans="1:6" x14ac:dyDescent="0.3">
      <c r="A2390" s="4"/>
      <c r="B2390" s="1"/>
      <c r="C2390" s="2"/>
      <c r="D2390" s="2"/>
      <c r="E2390" s="5">
        <f t="shared" si="78"/>
        <v>0</v>
      </c>
      <c r="F2390" s="6">
        <f t="shared" si="79"/>
        <v>0</v>
      </c>
    </row>
    <row r="2391" spans="1:6" x14ac:dyDescent="0.3">
      <c r="A2391" s="4"/>
      <c r="B2391" s="1"/>
      <c r="C2391" s="2"/>
      <c r="D2391" s="2"/>
      <c r="E2391" s="5">
        <f t="shared" si="78"/>
        <v>0</v>
      </c>
      <c r="F2391" s="6">
        <f t="shared" si="79"/>
        <v>0</v>
      </c>
    </row>
    <row r="2392" spans="1:6" x14ac:dyDescent="0.3">
      <c r="A2392" s="4"/>
      <c r="B2392" s="1"/>
      <c r="C2392" s="2"/>
      <c r="D2392" s="2"/>
      <c r="E2392" s="5">
        <f t="shared" si="78"/>
        <v>0</v>
      </c>
      <c r="F2392" s="6">
        <f t="shared" si="79"/>
        <v>0</v>
      </c>
    </row>
    <row r="2393" spans="1:6" x14ac:dyDescent="0.3">
      <c r="A2393" s="4"/>
      <c r="B2393" s="1"/>
      <c r="C2393" s="2"/>
      <c r="D2393" s="2"/>
      <c r="E2393" s="5">
        <f t="shared" si="78"/>
        <v>0</v>
      </c>
      <c r="F2393" s="6">
        <f t="shared" si="79"/>
        <v>0</v>
      </c>
    </row>
    <row r="2394" spans="1:6" x14ac:dyDescent="0.3">
      <c r="A2394" s="4"/>
      <c r="B2394" s="1"/>
      <c r="C2394" s="2"/>
      <c r="D2394" s="2"/>
      <c r="E2394" s="5">
        <f t="shared" si="78"/>
        <v>0</v>
      </c>
      <c r="F2394" s="6">
        <f t="shared" si="79"/>
        <v>0</v>
      </c>
    </row>
    <row r="2395" spans="1:6" x14ac:dyDescent="0.3">
      <c r="A2395" s="4"/>
      <c r="B2395" s="1"/>
      <c r="C2395" s="2"/>
      <c r="D2395" s="2"/>
      <c r="E2395" s="5">
        <f t="shared" si="78"/>
        <v>0</v>
      </c>
      <c r="F2395" s="6">
        <f t="shared" si="79"/>
        <v>0</v>
      </c>
    </row>
    <row r="2396" spans="1:6" x14ac:dyDescent="0.3">
      <c r="A2396" s="4"/>
      <c r="B2396" s="1"/>
      <c r="C2396" s="2"/>
      <c r="D2396" s="2"/>
      <c r="E2396" s="5">
        <f t="shared" si="78"/>
        <v>0</v>
      </c>
      <c r="F2396" s="6">
        <f t="shared" si="79"/>
        <v>0</v>
      </c>
    </row>
    <row r="2397" spans="1:6" x14ac:dyDescent="0.3">
      <c r="A2397" s="4"/>
      <c r="B2397" s="1"/>
      <c r="C2397" s="2"/>
      <c r="D2397" s="2"/>
      <c r="E2397" s="5">
        <f t="shared" si="78"/>
        <v>0</v>
      </c>
      <c r="F2397" s="6">
        <f t="shared" si="79"/>
        <v>0</v>
      </c>
    </row>
    <row r="2398" spans="1:6" x14ac:dyDescent="0.3">
      <c r="A2398" s="4"/>
      <c r="B2398" s="1"/>
      <c r="C2398" s="2"/>
      <c r="D2398" s="2"/>
      <c r="E2398" s="5">
        <f t="shared" si="78"/>
        <v>0</v>
      </c>
      <c r="F2398" s="6">
        <f t="shared" si="79"/>
        <v>0</v>
      </c>
    </row>
    <row r="2399" spans="1:6" x14ac:dyDescent="0.3">
      <c r="A2399" s="4"/>
      <c r="B2399" s="1"/>
      <c r="C2399" s="2"/>
      <c r="D2399" s="2"/>
      <c r="E2399" s="5">
        <f t="shared" si="78"/>
        <v>0</v>
      </c>
      <c r="F2399" s="6">
        <f t="shared" si="79"/>
        <v>0</v>
      </c>
    </row>
    <row r="2400" spans="1:6" x14ac:dyDescent="0.3">
      <c r="A2400" s="4"/>
      <c r="B2400" s="1"/>
      <c r="C2400" s="2"/>
      <c r="D2400" s="2"/>
      <c r="E2400" s="5">
        <f t="shared" si="78"/>
        <v>0</v>
      </c>
      <c r="F2400" s="6">
        <f t="shared" si="79"/>
        <v>0</v>
      </c>
    </row>
    <row r="2401" spans="1:6" x14ac:dyDescent="0.3">
      <c r="A2401" s="4"/>
      <c r="B2401" s="1"/>
      <c r="C2401" s="2"/>
      <c r="D2401" s="2"/>
      <c r="E2401" s="5">
        <f t="shared" si="78"/>
        <v>0</v>
      </c>
      <c r="F2401" s="6">
        <f t="shared" si="79"/>
        <v>0</v>
      </c>
    </row>
    <row r="2402" spans="1:6" x14ac:dyDescent="0.3">
      <c r="A2402" s="4"/>
      <c r="B2402" s="1"/>
      <c r="C2402" s="2"/>
      <c r="D2402" s="2"/>
      <c r="E2402" s="5">
        <f t="shared" si="78"/>
        <v>0</v>
      </c>
      <c r="F2402" s="6">
        <f t="shared" si="79"/>
        <v>0</v>
      </c>
    </row>
    <row r="2403" spans="1:6" x14ac:dyDescent="0.3">
      <c r="A2403" s="4"/>
      <c r="B2403" s="1"/>
      <c r="C2403" s="2"/>
      <c r="D2403" s="2"/>
      <c r="E2403" s="5">
        <f t="shared" si="78"/>
        <v>0</v>
      </c>
      <c r="F2403" s="6">
        <f t="shared" si="79"/>
        <v>0</v>
      </c>
    </row>
    <row r="2404" spans="1:6" x14ac:dyDescent="0.3">
      <c r="A2404" s="4"/>
      <c r="B2404" s="1"/>
      <c r="C2404" s="2"/>
      <c r="D2404" s="2"/>
      <c r="E2404" s="5">
        <f t="shared" si="78"/>
        <v>0</v>
      </c>
      <c r="F2404" s="6">
        <f t="shared" si="79"/>
        <v>0</v>
      </c>
    </row>
    <row r="2405" spans="1:6" x14ac:dyDescent="0.3">
      <c r="A2405" s="4"/>
      <c r="B2405" s="1"/>
      <c r="C2405" s="2"/>
      <c r="D2405" s="2"/>
      <c r="E2405" s="5">
        <f t="shared" si="78"/>
        <v>0</v>
      </c>
      <c r="F2405" s="6">
        <f t="shared" si="79"/>
        <v>0</v>
      </c>
    </row>
    <row r="2406" spans="1:6" x14ac:dyDescent="0.3">
      <c r="A2406" s="4"/>
      <c r="B2406" s="1"/>
      <c r="C2406" s="2"/>
      <c r="D2406" s="2"/>
      <c r="E2406" s="5">
        <f t="shared" si="78"/>
        <v>0</v>
      </c>
      <c r="F2406" s="6">
        <f t="shared" si="79"/>
        <v>0</v>
      </c>
    </row>
    <row r="2407" spans="1:6" x14ac:dyDescent="0.3">
      <c r="A2407" s="4"/>
      <c r="B2407" s="1"/>
      <c r="C2407" s="2"/>
      <c r="D2407" s="2"/>
      <c r="E2407" s="5">
        <f t="shared" si="78"/>
        <v>0</v>
      </c>
      <c r="F2407" s="6">
        <f t="shared" si="79"/>
        <v>0</v>
      </c>
    </row>
    <row r="2408" spans="1:6" x14ac:dyDescent="0.3">
      <c r="A2408" s="4"/>
      <c r="B2408" s="1"/>
      <c r="C2408" s="2"/>
      <c r="D2408" s="2"/>
      <c r="E2408" s="5">
        <f t="shared" si="78"/>
        <v>0</v>
      </c>
      <c r="F2408" s="6">
        <f t="shared" si="79"/>
        <v>0</v>
      </c>
    </row>
    <row r="2409" spans="1:6" x14ac:dyDescent="0.3">
      <c r="A2409" s="4"/>
      <c r="B2409" s="1"/>
      <c r="C2409" s="2"/>
      <c r="D2409" s="2"/>
      <c r="E2409" s="5">
        <f t="shared" si="78"/>
        <v>0</v>
      </c>
      <c r="F2409" s="6">
        <f t="shared" si="79"/>
        <v>0</v>
      </c>
    </row>
    <row r="2410" spans="1:6" x14ac:dyDescent="0.3">
      <c r="A2410" s="4"/>
      <c r="B2410" s="1"/>
      <c r="C2410" s="2"/>
      <c r="D2410" s="2"/>
      <c r="E2410" s="5">
        <f t="shared" si="78"/>
        <v>0</v>
      </c>
      <c r="F2410" s="6">
        <f t="shared" si="79"/>
        <v>0</v>
      </c>
    </row>
    <row r="2411" spans="1:6" x14ac:dyDescent="0.3">
      <c r="A2411" s="4"/>
      <c r="B2411" s="1"/>
      <c r="C2411" s="2"/>
      <c r="D2411" s="2"/>
      <c r="E2411" s="5">
        <f t="shared" si="78"/>
        <v>0</v>
      </c>
      <c r="F2411" s="6">
        <f t="shared" si="79"/>
        <v>0</v>
      </c>
    </row>
    <row r="2412" spans="1:6" x14ac:dyDescent="0.3">
      <c r="A2412" s="4"/>
      <c r="B2412" s="1"/>
      <c r="C2412" s="2"/>
      <c r="D2412" s="2"/>
      <c r="E2412" s="5">
        <f t="shared" si="78"/>
        <v>0</v>
      </c>
      <c r="F2412" s="6">
        <f t="shared" si="79"/>
        <v>0</v>
      </c>
    </row>
    <row r="2413" spans="1:6" x14ac:dyDescent="0.3">
      <c r="A2413" s="4"/>
      <c r="B2413" s="1"/>
      <c r="C2413" s="2"/>
      <c r="D2413" s="2"/>
      <c r="E2413" s="5">
        <f t="shared" si="78"/>
        <v>0</v>
      </c>
      <c r="F2413" s="6">
        <f t="shared" si="79"/>
        <v>0</v>
      </c>
    </row>
    <row r="2414" spans="1:6" x14ac:dyDescent="0.3">
      <c r="A2414" s="4"/>
      <c r="B2414" s="1"/>
      <c r="C2414" s="2"/>
      <c r="D2414" s="2"/>
      <c r="E2414" s="5">
        <f t="shared" si="78"/>
        <v>0</v>
      </c>
      <c r="F2414" s="6">
        <f t="shared" si="79"/>
        <v>0</v>
      </c>
    </row>
    <row r="2415" spans="1:6" x14ac:dyDescent="0.3">
      <c r="A2415" s="4"/>
      <c r="B2415" s="1"/>
      <c r="C2415" s="2"/>
      <c r="D2415" s="2"/>
      <c r="E2415" s="5">
        <f t="shared" si="78"/>
        <v>0</v>
      </c>
      <c r="F2415" s="6">
        <f t="shared" si="79"/>
        <v>0</v>
      </c>
    </row>
    <row r="2416" spans="1:6" x14ac:dyDescent="0.3">
      <c r="A2416" s="4"/>
      <c r="B2416" s="1"/>
      <c r="C2416" s="2"/>
      <c r="D2416" s="2"/>
      <c r="E2416" s="5">
        <f t="shared" si="78"/>
        <v>0</v>
      </c>
      <c r="F2416" s="6">
        <f t="shared" si="79"/>
        <v>0</v>
      </c>
    </row>
    <row r="2417" spans="1:6" x14ac:dyDescent="0.3">
      <c r="A2417" s="4"/>
      <c r="B2417" s="1"/>
      <c r="C2417" s="2"/>
      <c r="D2417" s="2"/>
      <c r="E2417" s="5">
        <f t="shared" si="78"/>
        <v>0</v>
      </c>
      <c r="F2417" s="6">
        <f t="shared" si="79"/>
        <v>0</v>
      </c>
    </row>
    <row r="2418" spans="1:6" x14ac:dyDescent="0.3">
      <c r="A2418" s="4"/>
      <c r="B2418" s="1"/>
      <c r="C2418" s="2"/>
      <c r="D2418" s="2"/>
      <c r="E2418" s="5">
        <f t="shared" si="78"/>
        <v>0</v>
      </c>
      <c r="F2418" s="6">
        <f t="shared" si="79"/>
        <v>0</v>
      </c>
    </row>
    <row r="2419" spans="1:6" x14ac:dyDescent="0.3">
      <c r="A2419" s="4"/>
      <c r="B2419" s="1"/>
      <c r="C2419" s="2"/>
      <c r="D2419" s="2"/>
      <c r="E2419" s="5">
        <f t="shared" si="78"/>
        <v>0</v>
      </c>
      <c r="F2419" s="6">
        <f t="shared" si="79"/>
        <v>0</v>
      </c>
    </row>
    <row r="2420" spans="1:6" x14ac:dyDescent="0.3">
      <c r="A2420" s="4"/>
      <c r="B2420" s="1"/>
      <c r="C2420" s="2"/>
      <c r="D2420" s="2"/>
      <c r="E2420" s="5">
        <f t="shared" si="78"/>
        <v>0</v>
      </c>
      <c r="F2420" s="6">
        <f t="shared" si="79"/>
        <v>0</v>
      </c>
    </row>
    <row r="2421" spans="1:6" x14ac:dyDescent="0.3">
      <c r="A2421" s="4"/>
      <c r="B2421" s="1"/>
      <c r="C2421" s="2"/>
      <c r="D2421" s="2"/>
      <c r="E2421" s="5">
        <f t="shared" si="78"/>
        <v>0</v>
      </c>
      <c r="F2421" s="6">
        <f t="shared" si="79"/>
        <v>0</v>
      </c>
    </row>
    <row r="2422" spans="1:6" x14ac:dyDescent="0.3">
      <c r="A2422" s="4"/>
      <c r="B2422" s="1"/>
      <c r="C2422" s="2"/>
      <c r="D2422" s="2"/>
      <c r="E2422" s="5">
        <f t="shared" si="78"/>
        <v>0</v>
      </c>
      <c r="F2422" s="6">
        <f t="shared" si="79"/>
        <v>0</v>
      </c>
    </row>
    <row r="2423" spans="1:6" x14ac:dyDescent="0.3">
      <c r="A2423" s="4"/>
      <c r="B2423" s="1"/>
      <c r="C2423" s="2"/>
      <c r="D2423" s="2"/>
      <c r="E2423" s="5">
        <f t="shared" si="78"/>
        <v>0</v>
      </c>
      <c r="F2423" s="6">
        <f t="shared" si="79"/>
        <v>0</v>
      </c>
    </row>
    <row r="2424" spans="1:6" x14ac:dyDescent="0.3">
      <c r="A2424" s="4"/>
      <c r="B2424" s="1"/>
      <c r="C2424" s="2"/>
      <c r="D2424" s="2"/>
      <c r="E2424" s="5">
        <f t="shared" si="78"/>
        <v>0</v>
      </c>
      <c r="F2424" s="6">
        <f t="shared" si="79"/>
        <v>0</v>
      </c>
    </row>
    <row r="2425" spans="1:6" x14ac:dyDescent="0.3">
      <c r="A2425" s="4"/>
      <c r="B2425" s="1"/>
      <c r="C2425" s="2"/>
      <c r="D2425" s="2"/>
      <c r="E2425" s="5">
        <f t="shared" si="78"/>
        <v>0</v>
      </c>
      <c r="F2425" s="6">
        <f t="shared" si="79"/>
        <v>0</v>
      </c>
    </row>
    <row r="2426" spans="1:6" x14ac:dyDescent="0.3">
      <c r="A2426" s="4"/>
      <c r="B2426" s="1"/>
      <c r="C2426" s="2"/>
      <c r="D2426" s="2"/>
      <c r="E2426" s="5">
        <f t="shared" si="78"/>
        <v>0</v>
      </c>
      <c r="F2426" s="6">
        <f t="shared" si="79"/>
        <v>0</v>
      </c>
    </row>
    <row r="2427" spans="1:6" x14ac:dyDescent="0.3">
      <c r="A2427" s="4"/>
      <c r="B2427" s="1"/>
      <c r="C2427" s="2"/>
      <c r="D2427" s="2"/>
      <c r="E2427" s="5">
        <f t="shared" si="78"/>
        <v>0</v>
      </c>
      <c r="F2427" s="6">
        <f t="shared" si="79"/>
        <v>0</v>
      </c>
    </row>
    <row r="2428" spans="1:6" x14ac:dyDescent="0.3">
      <c r="A2428" s="4"/>
      <c r="B2428" s="1"/>
      <c r="C2428" s="2"/>
      <c r="D2428" s="2"/>
      <c r="E2428" s="5">
        <f t="shared" si="78"/>
        <v>0</v>
      </c>
      <c r="F2428" s="6">
        <f t="shared" si="79"/>
        <v>0</v>
      </c>
    </row>
    <row r="2429" spans="1:6" x14ac:dyDescent="0.3">
      <c r="A2429" s="4"/>
      <c r="B2429" s="1"/>
      <c r="C2429" s="2"/>
      <c r="D2429" s="2"/>
      <c r="E2429" s="5">
        <f t="shared" si="78"/>
        <v>0</v>
      </c>
      <c r="F2429" s="6">
        <f t="shared" si="79"/>
        <v>0</v>
      </c>
    </row>
    <row r="2430" spans="1:6" x14ac:dyDescent="0.3">
      <c r="A2430" s="4"/>
      <c r="B2430" s="1"/>
      <c r="C2430" s="2"/>
      <c r="D2430" s="2"/>
      <c r="E2430" s="5">
        <f t="shared" si="78"/>
        <v>0</v>
      </c>
      <c r="F2430" s="6">
        <f t="shared" si="79"/>
        <v>0</v>
      </c>
    </row>
    <row r="2431" spans="1:6" x14ac:dyDescent="0.3">
      <c r="A2431" s="4"/>
      <c r="B2431" s="1"/>
      <c r="C2431" s="2"/>
      <c r="D2431" s="2"/>
      <c r="E2431" s="5">
        <f t="shared" si="78"/>
        <v>0</v>
      </c>
      <c r="F2431" s="6">
        <f t="shared" si="79"/>
        <v>0</v>
      </c>
    </row>
    <row r="2432" spans="1:6" x14ac:dyDescent="0.3">
      <c r="A2432" s="4"/>
      <c r="B2432" s="1"/>
      <c r="C2432" s="2"/>
      <c r="D2432" s="2"/>
      <c r="E2432" s="5">
        <f t="shared" si="78"/>
        <v>0</v>
      </c>
      <c r="F2432" s="6">
        <f t="shared" si="79"/>
        <v>0</v>
      </c>
    </row>
    <row r="2433" spans="1:6" x14ac:dyDescent="0.3">
      <c r="A2433" s="4"/>
      <c r="B2433" s="1"/>
      <c r="C2433" s="2"/>
      <c r="D2433" s="2"/>
      <c r="E2433" s="5">
        <f t="shared" si="78"/>
        <v>0</v>
      </c>
      <c r="F2433" s="6">
        <f t="shared" si="79"/>
        <v>0</v>
      </c>
    </row>
    <row r="2434" spans="1:6" x14ac:dyDescent="0.3">
      <c r="A2434" s="4"/>
      <c r="B2434" s="1"/>
      <c r="C2434" s="2"/>
      <c r="D2434" s="2"/>
      <c r="E2434" s="5">
        <f t="shared" si="78"/>
        <v>0</v>
      </c>
      <c r="F2434" s="6">
        <f t="shared" si="79"/>
        <v>0</v>
      </c>
    </row>
    <row r="2435" spans="1:6" x14ac:dyDescent="0.3">
      <c r="A2435" s="4"/>
      <c r="B2435" s="1"/>
      <c r="C2435" s="2"/>
      <c r="D2435" s="2"/>
      <c r="E2435" s="5">
        <f t="shared" ref="E2435:E2498" si="80">D2435-C2435</f>
        <v>0</v>
      </c>
      <c r="F2435" s="6">
        <f t="shared" ref="F2435:F2498" si="81">ROUND(VALUE(E2435)*4,2)</f>
        <v>0</v>
      </c>
    </row>
    <row r="2436" spans="1:6" x14ac:dyDescent="0.3">
      <c r="A2436" s="4"/>
      <c r="B2436" s="1"/>
      <c r="C2436" s="2"/>
      <c r="D2436" s="2"/>
      <c r="E2436" s="5">
        <f t="shared" si="80"/>
        <v>0</v>
      </c>
      <c r="F2436" s="6">
        <f t="shared" si="81"/>
        <v>0</v>
      </c>
    </row>
    <row r="2437" spans="1:6" x14ac:dyDescent="0.3">
      <c r="A2437" s="4"/>
      <c r="B2437" s="1"/>
      <c r="C2437" s="2"/>
      <c r="D2437" s="2"/>
      <c r="E2437" s="5">
        <f t="shared" si="80"/>
        <v>0</v>
      </c>
      <c r="F2437" s="6">
        <f t="shared" si="81"/>
        <v>0</v>
      </c>
    </row>
    <row r="2438" spans="1:6" x14ac:dyDescent="0.3">
      <c r="A2438" s="4"/>
      <c r="B2438" s="1"/>
      <c r="C2438" s="2"/>
      <c r="D2438" s="2"/>
      <c r="E2438" s="5">
        <f t="shared" si="80"/>
        <v>0</v>
      </c>
      <c r="F2438" s="6">
        <f t="shared" si="81"/>
        <v>0</v>
      </c>
    </row>
    <row r="2439" spans="1:6" x14ac:dyDescent="0.3">
      <c r="A2439" s="4"/>
      <c r="B2439" s="1"/>
      <c r="C2439" s="2"/>
      <c r="D2439" s="2"/>
      <c r="E2439" s="5">
        <f t="shared" si="80"/>
        <v>0</v>
      </c>
      <c r="F2439" s="6">
        <f t="shared" si="81"/>
        <v>0</v>
      </c>
    </row>
    <row r="2440" spans="1:6" x14ac:dyDescent="0.3">
      <c r="A2440" s="4"/>
      <c r="B2440" s="1"/>
      <c r="C2440" s="2"/>
      <c r="D2440" s="2"/>
      <c r="E2440" s="5">
        <f t="shared" si="80"/>
        <v>0</v>
      </c>
      <c r="F2440" s="6">
        <f t="shared" si="81"/>
        <v>0</v>
      </c>
    </row>
    <row r="2441" spans="1:6" x14ac:dyDescent="0.3">
      <c r="A2441" s="4"/>
      <c r="B2441" s="1"/>
      <c r="C2441" s="2"/>
      <c r="D2441" s="2"/>
      <c r="E2441" s="5">
        <f t="shared" si="80"/>
        <v>0</v>
      </c>
      <c r="F2441" s="6">
        <f t="shared" si="81"/>
        <v>0</v>
      </c>
    </row>
    <row r="2442" spans="1:6" x14ac:dyDescent="0.3">
      <c r="A2442" s="4"/>
      <c r="B2442" s="1"/>
      <c r="C2442" s="2"/>
      <c r="D2442" s="2"/>
      <c r="E2442" s="5">
        <f t="shared" si="80"/>
        <v>0</v>
      </c>
      <c r="F2442" s="6">
        <f t="shared" si="81"/>
        <v>0</v>
      </c>
    </row>
    <row r="2443" spans="1:6" x14ac:dyDescent="0.3">
      <c r="A2443" s="4"/>
      <c r="B2443" s="1"/>
      <c r="C2443" s="2"/>
      <c r="D2443" s="2"/>
      <c r="E2443" s="5">
        <f t="shared" si="80"/>
        <v>0</v>
      </c>
      <c r="F2443" s="6">
        <f t="shared" si="81"/>
        <v>0</v>
      </c>
    </row>
    <row r="2444" spans="1:6" x14ac:dyDescent="0.3">
      <c r="A2444" s="4"/>
      <c r="B2444" s="1"/>
      <c r="C2444" s="2"/>
      <c r="D2444" s="2"/>
      <c r="E2444" s="5">
        <f t="shared" si="80"/>
        <v>0</v>
      </c>
      <c r="F2444" s="6">
        <f t="shared" si="81"/>
        <v>0</v>
      </c>
    </row>
    <row r="2445" spans="1:6" x14ac:dyDescent="0.3">
      <c r="A2445" s="4"/>
      <c r="B2445" s="1"/>
      <c r="C2445" s="2"/>
      <c r="D2445" s="2"/>
      <c r="E2445" s="5">
        <f t="shared" si="80"/>
        <v>0</v>
      </c>
      <c r="F2445" s="6">
        <f t="shared" si="81"/>
        <v>0</v>
      </c>
    </row>
    <row r="2446" spans="1:6" x14ac:dyDescent="0.3">
      <c r="A2446" s="4"/>
      <c r="B2446" s="1"/>
      <c r="C2446" s="2"/>
      <c r="D2446" s="2"/>
      <c r="E2446" s="5">
        <f t="shared" si="80"/>
        <v>0</v>
      </c>
      <c r="F2446" s="6">
        <f t="shared" si="81"/>
        <v>0</v>
      </c>
    </row>
    <row r="2447" spans="1:6" x14ac:dyDescent="0.3">
      <c r="A2447" s="4"/>
      <c r="B2447" s="1"/>
      <c r="C2447" s="2"/>
      <c r="D2447" s="2"/>
      <c r="E2447" s="5">
        <f t="shared" si="80"/>
        <v>0</v>
      </c>
      <c r="F2447" s="6">
        <f t="shared" si="81"/>
        <v>0</v>
      </c>
    </row>
    <row r="2448" spans="1:6" x14ac:dyDescent="0.3">
      <c r="A2448" s="4"/>
      <c r="B2448" s="1"/>
      <c r="C2448" s="2"/>
      <c r="D2448" s="2"/>
      <c r="E2448" s="5">
        <f t="shared" si="80"/>
        <v>0</v>
      </c>
      <c r="F2448" s="6">
        <f t="shared" si="81"/>
        <v>0</v>
      </c>
    </row>
    <row r="2449" spans="1:6" x14ac:dyDescent="0.3">
      <c r="A2449" s="4"/>
      <c r="B2449" s="1"/>
      <c r="C2449" s="2"/>
      <c r="D2449" s="2"/>
      <c r="E2449" s="5">
        <f t="shared" si="80"/>
        <v>0</v>
      </c>
      <c r="F2449" s="6">
        <f t="shared" si="81"/>
        <v>0</v>
      </c>
    </row>
    <row r="2450" spans="1:6" x14ac:dyDescent="0.3">
      <c r="A2450" s="4"/>
      <c r="B2450" s="1"/>
      <c r="C2450" s="2"/>
      <c r="D2450" s="2"/>
      <c r="E2450" s="5">
        <f t="shared" si="80"/>
        <v>0</v>
      </c>
      <c r="F2450" s="6">
        <f t="shared" si="81"/>
        <v>0</v>
      </c>
    </row>
    <row r="2451" spans="1:6" x14ac:dyDescent="0.3">
      <c r="A2451" s="4"/>
      <c r="B2451" s="1"/>
      <c r="C2451" s="2"/>
      <c r="D2451" s="2"/>
      <c r="E2451" s="5">
        <f t="shared" si="80"/>
        <v>0</v>
      </c>
      <c r="F2451" s="6">
        <f t="shared" si="81"/>
        <v>0</v>
      </c>
    </row>
    <row r="2452" spans="1:6" x14ac:dyDescent="0.3">
      <c r="A2452" s="4"/>
      <c r="B2452" s="1"/>
      <c r="C2452" s="2"/>
      <c r="D2452" s="2"/>
      <c r="E2452" s="5">
        <f t="shared" si="80"/>
        <v>0</v>
      </c>
      <c r="F2452" s="6">
        <f t="shared" si="81"/>
        <v>0</v>
      </c>
    </row>
    <row r="2453" spans="1:6" x14ac:dyDescent="0.3">
      <c r="A2453" s="4"/>
      <c r="B2453" s="1"/>
      <c r="C2453" s="2"/>
      <c r="D2453" s="2"/>
      <c r="E2453" s="5">
        <f t="shared" si="80"/>
        <v>0</v>
      </c>
      <c r="F2453" s="6">
        <f t="shared" si="81"/>
        <v>0</v>
      </c>
    </row>
    <row r="2454" spans="1:6" x14ac:dyDescent="0.3">
      <c r="A2454" s="4"/>
      <c r="B2454" s="1"/>
      <c r="C2454" s="2"/>
      <c r="D2454" s="2"/>
      <c r="E2454" s="5">
        <f t="shared" si="80"/>
        <v>0</v>
      </c>
      <c r="F2454" s="6">
        <f t="shared" si="81"/>
        <v>0</v>
      </c>
    </row>
    <row r="2455" spans="1:6" x14ac:dyDescent="0.3">
      <c r="A2455" s="4"/>
      <c r="B2455" s="1"/>
      <c r="C2455" s="2"/>
      <c r="D2455" s="2"/>
      <c r="E2455" s="5">
        <f t="shared" si="80"/>
        <v>0</v>
      </c>
      <c r="F2455" s="6">
        <f t="shared" si="81"/>
        <v>0</v>
      </c>
    </row>
    <row r="2456" spans="1:6" x14ac:dyDescent="0.3">
      <c r="A2456" s="4"/>
      <c r="B2456" s="1"/>
      <c r="C2456" s="2"/>
      <c r="D2456" s="2"/>
      <c r="E2456" s="5">
        <f t="shared" si="80"/>
        <v>0</v>
      </c>
      <c r="F2456" s="6">
        <f t="shared" si="81"/>
        <v>0</v>
      </c>
    </row>
    <row r="2457" spans="1:6" x14ac:dyDescent="0.3">
      <c r="A2457" s="4"/>
      <c r="B2457" s="1"/>
      <c r="C2457" s="2"/>
      <c r="D2457" s="2"/>
      <c r="E2457" s="5">
        <f t="shared" si="80"/>
        <v>0</v>
      </c>
      <c r="F2457" s="6">
        <f t="shared" si="81"/>
        <v>0</v>
      </c>
    </row>
    <row r="2458" spans="1:6" x14ac:dyDescent="0.3">
      <c r="A2458" s="4"/>
      <c r="B2458" s="1"/>
      <c r="C2458" s="2"/>
      <c r="D2458" s="2"/>
      <c r="E2458" s="5">
        <f t="shared" si="80"/>
        <v>0</v>
      </c>
      <c r="F2458" s="6">
        <f t="shared" si="81"/>
        <v>0</v>
      </c>
    </row>
    <row r="2459" spans="1:6" x14ac:dyDescent="0.3">
      <c r="A2459" s="4"/>
      <c r="B2459" s="1"/>
      <c r="C2459" s="2"/>
      <c r="D2459" s="2"/>
      <c r="E2459" s="5">
        <f t="shared" si="80"/>
        <v>0</v>
      </c>
      <c r="F2459" s="6">
        <f t="shared" si="81"/>
        <v>0</v>
      </c>
    </row>
    <row r="2460" spans="1:6" x14ac:dyDescent="0.3">
      <c r="A2460" s="4"/>
      <c r="B2460" s="1"/>
      <c r="C2460" s="2"/>
      <c r="D2460" s="2"/>
      <c r="E2460" s="5">
        <f t="shared" si="80"/>
        <v>0</v>
      </c>
      <c r="F2460" s="6">
        <f t="shared" si="81"/>
        <v>0</v>
      </c>
    </row>
    <row r="2461" spans="1:6" x14ac:dyDescent="0.3">
      <c r="A2461" s="4"/>
      <c r="B2461" s="1"/>
      <c r="C2461" s="2"/>
      <c r="D2461" s="2"/>
      <c r="E2461" s="5">
        <f t="shared" si="80"/>
        <v>0</v>
      </c>
      <c r="F2461" s="6">
        <f t="shared" si="81"/>
        <v>0</v>
      </c>
    </row>
    <row r="2462" spans="1:6" x14ac:dyDescent="0.3">
      <c r="A2462" s="4"/>
      <c r="B2462" s="1"/>
      <c r="C2462" s="2"/>
      <c r="D2462" s="2"/>
      <c r="E2462" s="5">
        <f t="shared" si="80"/>
        <v>0</v>
      </c>
      <c r="F2462" s="6">
        <f t="shared" si="81"/>
        <v>0</v>
      </c>
    </row>
    <row r="2463" spans="1:6" x14ac:dyDescent="0.3">
      <c r="A2463" s="4"/>
      <c r="B2463" s="1"/>
      <c r="C2463" s="2"/>
      <c r="D2463" s="2"/>
      <c r="E2463" s="5">
        <f t="shared" si="80"/>
        <v>0</v>
      </c>
      <c r="F2463" s="6">
        <f t="shared" si="81"/>
        <v>0</v>
      </c>
    </row>
    <row r="2464" spans="1:6" x14ac:dyDescent="0.3">
      <c r="A2464" s="4"/>
      <c r="B2464" s="1"/>
      <c r="C2464" s="2"/>
      <c r="D2464" s="2"/>
      <c r="E2464" s="5">
        <f t="shared" si="80"/>
        <v>0</v>
      </c>
      <c r="F2464" s="6">
        <f t="shared" si="81"/>
        <v>0</v>
      </c>
    </row>
    <row r="2465" spans="1:6" x14ac:dyDescent="0.3">
      <c r="A2465" s="4"/>
      <c r="B2465" s="1"/>
      <c r="C2465" s="2"/>
      <c r="D2465" s="2"/>
      <c r="E2465" s="5">
        <f t="shared" si="80"/>
        <v>0</v>
      </c>
      <c r="F2465" s="6">
        <f t="shared" si="81"/>
        <v>0</v>
      </c>
    </row>
    <row r="2466" spans="1:6" x14ac:dyDescent="0.3">
      <c r="A2466" s="4"/>
      <c r="B2466" s="1"/>
      <c r="C2466" s="2"/>
      <c r="D2466" s="2"/>
      <c r="E2466" s="5">
        <f t="shared" si="80"/>
        <v>0</v>
      </c>
      <c r="F2466" s="6">
        <f t="shared" si="81"/>
        <v>0</v>
      </c>
    </row>
    <row r="2467" spans="1:6" x14ac:dyDescent="0.3">
      <c r="A2467" s="4"/>
      <c r="B2467" s="1"/>
      <c r="C2467" s="2"/>
      <c r="D2467" s="2"/>
      <c r="E2467" s="5">
        <f t="shared" si="80"/>
        <v>0</v>
      </c>
      <c r="F2467" s="6">
        <f t="shared" si="81"/>
        <v>0</v>
      </c>
    </row>
    <row r="2468" spans="1:6" x14ac:dyDescent="0.3">
      <c r="A2468" s="4"/>
      <c r="B2468" s="1"/>
      <c r="C2468" s="2"/>
      <c r="D2468" s="2"/>
      <c r="E2468" s="5">
        <f t="shared" si="80"/>
        <v>0</v>
      </c>
      <c r="F2468" s="6">
        <f t="shared" si="81"/>
        <v>0</v>
      </c>
    </row>
    <row r="2469" spans="1:6" x14ac:dyDescent="0.3">
      <c r="A2469" s="4"/>
      <c r="B2469" s="1"/>
      <c r="C2469" s="2"/>
      <c r="D2469" s="2"/>
      <c r="E2469" s="5">
        <f t="shared" si="80"/>
        <v>0</v>
      </c>
      <c r="F2469" s="6">
        <f t="shared" si="81"/>
        <v>0</v>
      </c>
    </row>
    <row r="2470" spans="1:6" x14ac:dyDescent="0.3">
      <c r="A2470" s="4"/>
      <c r="B2470" s="1"/>
      <c r="C2470" s="2"/>
      <c r="D2470" s="2"/>
      <c r="E2470" s="5">
        <f t="shared" si="80"/>
        <v>0</v>
      </c>
      <c r="F2470" s="6">
        <f t="shared" si="81"/>
        <v>0</v>
      </c>
    </row>
    <row r="2471" spans="1:6" x14ac:dyDescent="0.3">
      <c r="A2471" s="4"/>
      <c r="B2471" s="1"/>
      <c r="C2471" s="2"/>
      <c r="D2471" s="2"/>
      <c r="E2471" s="5">
        <f t="shared" si="80"/>
        <v>0</v>
      </c>
      <c r="F2471" s="6">
        <f t="shared" si="81"/>
        <v>0</v>
      </c>
    </row>
    <row r="2472" spans="1:6" x14ac:dyDescent="0.3">
      <c r="A2472" s="4"/>
      <c r="B2472" s="1"/>
      <c r="C2472" s="2"/>
      <c r="D2472" s="2"/>
      <c r="E2472" s="5">
        <f t="shared" si="80"/>
        <v>0</v>
      </c>
      <c r="F2472" s="6">
        <f t="shared" si="81"/>
        <v>0</v>
      </c>
    </row>
    <row r="2473" spans="1:6" x14ac:dyDescent="0.3">
      <c r="A2473" s="4"/>
      <c r="B2473" s="1"/>
      <c r="C2473" s="2"/>
      <c r="D2473" s="2"/>
      <c r="E2473" s="5">
        <f t="shared" si="80"/>
        <v>0</v>
      </c>
      <c r="F2473" s="6">
        <f t="shared" si="81"/>
        <v>0</v>
      </c>
    </row>
    <row r="2474" spans="1:6" x14ac:dyDescent="0.3">
      <c r="A2474" s="4"/>
      <c r="B2474" s="1"/>
      <c r="C2474" s="2"/>
      <c r="D2474" s="2"/>
      <c r="E2474" s="5">
        <f t="shared" si="80"/>
        <v>0</v>
      </c>
      <c r="F2474" s="6">
        <f t="shared" si="81"/>
        <v>0</v>
      </c>
    </row>
    <row r="2475" spans="1:6" x14ac:dyDescent="0.3">
      <c r="A2475" s="4"/>
      <c r="B2475" s="1"/>
      <c r="C2475" s="2"/>
      <c r="D2475" s="2"/>
      <c r="E2475" s="5">
        <f t="shared" si="80"/>
        <v>0</v>
      </c>
      <c r="F2475" s="6">
        <f t="shared" si="81"/>
        <v>0</v>
      </c>
    </row>
    <row r="2476" spans="1:6" x14ac:dyDescent="0.3">
      <c r="A2476" s="4"/>
      <c r="B2476" s="1"/>
      <c r="C2476" s="2"/>
      <c r="D2476" s="2"/>
      <c r="E2476" s="5">
        <f t="shared" si="80"/>
        <v>0</v>
      </c>
      <c r="F2476" s="6">
        <f t="shared" si="81"/>
        <v>0</v>
      </c>
    </row>
    <row r="2477" spans="1:6" x14ac:dyDescent="0.3">
      <c r="A2477" s="4"/>
      <c r="B2477" s="1"/>
      <c r="C2477" s="2"/>
      <c r="D2477" s="2"/>
      <c r="E2477" s="5">
        <f t="shared" si="80"/>
        <v>0</v>
      </c>
      <c r="F2477" s="6">
        <f t="shared" si="81"/>
        <v>0</v>
      </c>
    </row>
    <row r="2478" spans="1:6" x14ac:dyDescent="0.3">
      <c r="A2478" s="4"/>
      <c r="B2478" s="1"/>
      <c r="C2478" s="2"/>
      <c r="D2478" s="2"/>
      <c r="E2478" s="5">
        <f t="shared" si="80"/>
        <v>0</v>
      </c>
      <c r="F2478" s="6">
        <f t="shared" si="81"/>
        <v>0</v>
      </c>
    </row>
    <row r="2479" spans="1:6" x14ac:dyDescent="0.3">
      <c r="A2479" s="4"/>
      <c r="B2479" s="1"/>
      <c r="C2479" s="2"/>
      <c r="D2479" s="2"/>
      <c r="E2479" s="5">
        <f t="shared" si="80"/>
        <v>0</v>
      </c>
      <c r="F2479" s="6">
        <f t="shared" si="81"/>
        <v>0</v>
      </c>
    </row>
    <row r="2480" spans="1:6" x14ac:dyDescent="0.3">
      <c r="A2480" s="4"/>
      <c r="B2480" s="1"/>
      <c r="C2480" s="2"/>
      <c r="D2480" s="2"/>
      <c r="E2480" s="5">
        <f t="shared" si="80"/>
        <v>0</v>
      </c>
      <c r="F2480" s="6">
        <f t="shared" si="81"/>
        <v>0</v>
      </c>
    </row>
    <row r="2481" spans="1:6" x14ac:dyDescent="0.3">
      <c r="A2481" s="4"/>
      <c r="B2481" s="1"/>
      <c r="C2481" s="2"/>
      <c r="D2481" s="2"/>
      <c r="E2481" s="5">
        <f t="shared" si="80"/>
        <v>0</v>
      </c>
      <c r="F2481" s="6">
        <f t="shared" si="81"/>
        <v>0</v>
      </c>
    </row>
    <row r="2482" spans="1:6" x14ac:dyDescent="0.3">
      <c r="A2482" s="4"/>
      <c r="B2482" s="1"/>
      <c r="C2482" s="2"/>
      <c r="D2482" s="2"/>
      <c r="E2482" s="5">
        <f t="shared" si="80"/>
        <v>0</v>
      </c>
      <c r="F2482" s="6">
        <f t="shared" si="81"/>
        <v>0</v>
      </c>
    </row>
    <row r="2483" spans="1:6" x14ac:dyDescent="0.3">
      <c r="A2483" s="4"/>
      <c r="B2483" s="1"/>
      <c r="C2483" s="2"/>
      <c r="D2483" s="2"/>
      <c r="E2483" s="5">
        <f t="shared" si="80"/>
        <v>0</v>
      </c>
      <c r="F2483" s="6">
        <f t="shared" si="81"/>
        <v>0</v>
      </c>
    </row>
    <row r="2484" spans="1:6" x14ac:dyDescent="0.3">
      <c r="A2484" s="4"/>
      <c r="B2484" s="1"/>
      <c r="C2484" s="2"/>
      <c r="D2484" s="2"/>
      <c r="E2484" s="5">
        <f t="shared" si="80"/>
        <v>0</v>
      </c>
      <c r="F2484" s="6">
        <f t="shared" si="81"/>
        <v>0</v>
      </c>
    </row>
    <row r="2485" spans="1:6" x14ac:dyDescent="0.3">
      <c r="A2485" s="4"/>
      <c r="B2485" s="1"/>
      <c r="C2485" s="2"/>
      <c r="D2485" s="2"/>
      <c r="E2485" s="5">
        <f t="shared" si="80"/>
        <v>0</v>
      </c>
      <c r="F2485" s="6">
        <f t="shared" si="81"/>
        <v>0</v>
      </c>
    </row>
    <row r="2486" spans="1:6" x14ac:dyDescent="0.3">
      <c r="A2486" s="4"/>
      <c r="B2486" s="1"/>
      <c r="C2486" s="2"/>
      <c r="D2486" s="2"/>
      <c r="E2486" s="5">
        <f t="shared" si="80"/>
        <v>0</v>
      </c>
      <c r="F2486" s="6">
        <f t="shared" si="81"/>
        <v>0</v>
      </c>
    </row>
    <row r="2487" spans="1:6" x14ac:dyDescent="0.3">
      <c r="A2487" s="4"/>
      <c r="B2487" s="1"/>
      <c r="C2487" s="2"/>
      <c r="D2487" s="2"/>
      <c r="E2487" s="5">
        <f t="shared" si="80"/>
        <v>0</v>
      </c>
      <c r="F2487" s="6">
        <f t="shared" si="81"/>
        <v>0</v>
      </c>
    </row>
    <row r="2488" spans="1:6" x14ac:dyDescent="0.3">
      <c r="A2488" s="4"/>
      <c r="B2488" s="1"/>
      <c r="C2488" s="2"/>
      <c r="D2488" s="2"/>
      <c r="E2488" s="5">
        <f t="shared" si="80"/>
        <v>0</v>
      </c>
      <c r="F2488" s="6">
        <f t="shared" si="81"/>
        <v>0</v>
      </c>
    </row>
    <row r="2489" spans="1:6" x14ac:dyDescent="0.3">
      <c r="A2489" s="4"/>
      <c r="B2489" s="1"/>
      <c r="C2489" s="2"/>
      <c r="D2489" s="2"/>
      <c r="E2489" s="5">
        <f t="shared" si="80"/>
        <v>0</v>
      </c>
      <c r="F2489" s="6">
        <f t="shared" si="81"/>
        <v>0</v>
      </c>
    </row>
    <row r="2490" spans="1:6" x14ac:dyDescent="0.3">
      <c r="A2490" s="4"/>
      <c r="B2490" s="1"/>
      <c r="C2490" s="2"/>
      <c r="D2490" s="2"/>
      <c r="E2490" s="5">
        <f t="shared" si="80"/>
        <v>0</v>
      </c>
      <c r="F2490" s="6">
        <f t="shared" si="81"/>
        <v>0</v>
      </c>
    </row>
    <row r="2491" spans="1:6" x14ac:dyDescent="0.3">
      <c r="A2491" s="4"/>
      <c r="B2491" s="1"/>
      <c r="C2491" s="2"/>
      <c r="D2491" s="2"/>
      <c r="E2491" s="5">
        <f t="shared" si="80"/>
        <v>0</v>
      </c>
      <c r="F2491" s="6">
        <f t="shared" si="81"/>
        <v>0</v>
      </c>
    </row>
    <row r="2492" spans="1:6" x14ac:dyDescent="0.3">
      <c r="A2492" s="4"/>
      <c r="B2492" s="1"/>
      <c r="C2492" s="2"/>
      <c r="D2492" s="2"/>
      <c r="E2492" s="5">
        <f t="shared" si="80"/>
        <v>0</v>
      </c>
      <c r="F2492" s="6">
        <f t="shared" si="81"/>
        <v>0</v>
      </c>
    </row>
    <row r="2493" spans="1:6" x14ac:dyDescent="0.3">
      <c r="A2493" s="4"/>
      <c r="B2493" s="1"/>
      <c r="C2493" s="2"/>
      <c r="D2493" s="2"/>
      <c r="E2493" s="5">
        <f t="shared" si="80"/>
        <v>0</v>
      </c>
      <c r="F2493" s="6">
        <f t="shared" si="81"/>
        <v>0</v>
      </c>
    </row>
    <row r="2494" spans="1:6" x14ac:dyDescent="0.3">
      <c r="A2494" s="4"/>
      <c r="B2494" s="1"/>
      <c r="C2494" s="2"/>
      <c r="D2494" s="2"/>
      <c r="E2494" s="5">
        <f t="shared" si="80"/>
        <v>0</v>
      </c>
      <c r="F2494" s="6">
        <f t="shared" si="81"/>
        <v>0</v>
      </c>
    </row>
    <row r="2495" spans="1:6" x14ac:dyDescent="0.3">
      <c r="A2495" s="4"/>
      <c r="B2495" s="1"/>
      <c r="C2495" s="2"/>
      <c r="D2495" s="2"/>
      <c r="E2495" s="5">
        <f t="shared" si="80"/>
        <v>0</v>
      </c>
      <c r="F2495" s="6">
        <f t="shared" si="81"/>
        <v>0</v>
      </c>
    </row>
    <row r="2496" spans="1:6" x14ac:dyDescent="0.3">
      <c r="A2496" s="4"/>
      <c r="B2496" s="1"/>
      <c r="C2496" s="2"/>
      <c r="D2496" s="2"/>
      <c r="E2496" s="5">
        <f t="shared" si="80"/>
        <v>0</v>
      </c>
      <c r="F2496" s="6">
        <f t="shared" si="81"/>
        <v>0</v>
      </c>
    </row>
    <row r="2497" spans="1:6" x14ac:dyDescent="0.3">
      <c r="A2497" s="4"/>
      <c r="B2497" s="1"/>
      <c r="C2497" s="2"/>
      <c r="D2497" s="2"/>
      <c r="E2497" s="5">
        <f t="shared" si="80"/>
        <v>0</v>
      </c>
      <c r="F2497" s="6">
        <f t="shared" si="81"/>
        <v>0</v>
      </c>
    </row>
    <row r="2498" spans="1:6" x14ac:dyDescent="0.3">
      <c r="A2498" s="4"/>
      <c r="B2498" s="1"/>
      <c r="C2498" s="2"/>
      <c r="D2498" s="2"/>
      <c r="E2498" s="5">
        <f t="shared" si="80"/>
        <v>0</v>
      </c>
      <c r="F2498" s="6">
        <f t="shared" si="81"/>
        <v>0</v>
      </c>
    </row>
    <row r="2499" spans="1:6" x14ac:dyDescent="0.3">
      <c r="A2499" s="4"/>
      <c r="B2499" s="1"/>
      <c r="C2499" s="2"/>
      <c r="D2499" s="2"/>
      <c r="E2499" s="5">
        <f t="shared" ref="E2499:E2510" si="82">D2499-C2499</f>
        <v>0</v>
      </c>
      <c r="F2499" s="6">
        <f t="shared" ref="F2499:F2510" si="83">ROUND(VALUE(E2499)*4,2)</f>
        <v>0</v>
      </c>
    </row>
    <row r="2500" spans="1:6" x14ac:dyDescent="0.3">
      <c r="A2500" s="4"/>
      <c r="B2500" s="1"/>
      <c r="C2500" s="2"/>
      <c r="D2500" s="2"/>
      <c r="E2500" s="5">
        <f t="shared" si="82"/>
        <v>0</v>
      </c>
      <c r="F2500" s="6">
        <f t="shared" si="83"/>
        <v>0</v>
      </c>
    </row>
    <row r="2501" spans="1:6" x14ac:dyDescent="0.3">
      <c r="A2501" s="4"/>
      <c r="B2501" s="1"/>
      <c r="C2501" s="2"/>
      <c r="D2501" s="2"/>
      <c r="E2501" s="5">
        <f t="shared" si="82"/>
        <v>0</v>
      </c>
      <c r="F2501" s="6">
        <f t="shared" si="83"/>
        <v>0</v>
      </c>
    </row>
    <row r="2502" spans="1:6" x14ac:dyDescent="0.3">
      <c r="A2502" s="4"/>
      <c r="B2502" s="1"/>
      <c r="C2502" s="2"/>
      <c r="D2502" s="2"/>
      <c r="E2502" s="5">
        <f t="shared" si="82"/>
        <v>0</v>
      </c>
      <c r="F2502" s="6">
        <f t="shared" si="83"/>
        <v>0</v>
      </c>
    </row>
    <row r="2503" spans="1:6" x14ac:dyDescent="0.3">
      <c r="A2503" s="4"/>
      <c r="B2503" s="1"/>
      <c r="C2503" s="2"/>
      <c r="D2503" s="2"/>
      <c r="E2503" s="5">
        <f t="shared" si="82"/>
        <v>0</v>
      </c>
      <c r="F2503" s="6">
        <f t="shared" si="83"/>
        <v>0</v>
      </c>
    </row>
    <row r="2504" spans="1:6" x14ac:dyDescent="0.3">
      <c r="A2504" s="4"/>
      <c r="B2504" s="1"/>
      <c r="C2504" s="2"/>
      <c r="D2504" s="2"/>
      <c r="E2504" s="5">
        <f t="shared" si="82"/>
        <v>0</v>
      </c>
      <c r="F2504" s="6">
        <f t="shared" si="83"/>
        <v>0</v>
      </c>
    </row>
    <row r="2505" spans="1:6" x14ac:dyDescent="0.3">
      <c r="A2505" s="4"/>
      <c r="B2505" s="1"/>
      <c r="C2505" s="2"/>
      <c r="D2505" s="2"/>
      <c r="E2505" s="5">
        <f t="shared" si="82"/>
        <v>0</v>
      </c>
      <c r="F2505" s="6">
        <f t="shared" si="83"/>
        <v>0</v>
      </c>
    </row>
    <row r="2506" spans="1:6" x14ac:dyDescent="0.3">
      <c r="A2506" s="4"/>
      <c r="B2506" s="1"/>
      <c r="C2506" s="2"/>
      <c r="D2506" s="2"/>
      <c r="E2506" s="5">
        <f t="shared" si="82"/>
        <v>0</v>
      </c>
      <c r="F2506" s="6">
        <f t="shared" si="83"/>
        <v>0</v>
      </c>
    </row>
    <row r="2507" spans="1:6" x14ac:dyDescent="0.3">
      <c r="A2507" s="4"/>
      <c r="B2507" s="1"/>
      <c r="C2507" s="2"/>
      <c r="D2507" s="2"/>
      <c r="E2507" s="5">
        <f t="shared" si="82"/>
        <v>0</v>
      </c>
      <c r="F2507" s="6">
        <f t="shared" si="83"/>
        <v>0</v>
      </c>
    </row>
    <row r="2508" spans="1:6" x14ac:dyDescent="0.3">
      <c r="A2508" s="4"/>
      <c r="B2508" s="1"/>
      <c r="C2508" s="2"/>
      <c r="D2508" s="2"/>
      <c r="E2508" s="5">
        <f t="shared" si="82"/>
        <v>0</v>
      </c>
      <c r="F2508" s="6">
        <f t="shared" si="83"/>
        <v>0</v>
      </c>
    </row>
    <row r="2509" spans="1:6" x14ac:dyDescent="0.3">
      <c r="A2509" s="4"/>
      <c r="B2509" s="1"/>
      <c r="C2509" s="2"/>
      <c r="D2509" s="2"/>
      <c r="E2509" s="5">
        <f t="shared" si="82"/>
        <v>0</v>
      </c>
      <c r="F2509" s="6">
        <f t="shared" si="83"/>
        <v>0</v>
      </c>
    </row>
    <row r="2510" spans="1:6" x14ac:dyDescent="0.3">
      <c r="A2510" s="4"/>
      <c r="B2510" s="1"/>
      <c r="C2510" s="2"/>
      <c r="D2510" s="2"/>
      <c r="E2510" s="5">
        <f t="shared" si="82"/>
        <v>0</v>
      </c>
      <c r="F2510" s="6">
        <f t="shared" si="83"/>
        <v>0</v>
      </c>
    </row>
  </sheetData>
  <mergeCells count="5">
    <mergeCell ref="AN1:AN2"/>
    <mergeCell ref="AP1:AP2"/>
    <mergeCell ref="AV1:AV2"/>
    <mergeCell ref="AW1:AW2"/>
    <mergeCell ref="AX1:AX2"/>
  </mergeCells>
  <pageMargins left="0.7" right="0.7" top="0.75" bottom="0.75" header="0.3" footer="0.3"/>
  <pageSetup paperSize="9" orientation="portrait" horizontalDpi="360" verticalDpi="360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C228AC1-70AE-48F5-A8F0-D389D101C103}">
          <x14:formula1>
            <xm:f>Medicos!$B$2:$B$48</xm:f>
          </x14:formula1>
          <xm:sqref>B3:B2510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Hoja1</vt:lpstr>
      <vt:lpstr>Medicos</vt:lpstr>
      <vt:lpstr>Enero</vt:lpstr>
      <vt:lpstr>Enero!FECHA</vt:lpstr>
      <vt:lpstr>Enero!PUNTO</vt:lpstr>
      <vt:lpstr>Enero!STAFF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3854</dc:creator>
  <cp:lastModifiedBy>Anesthesia healthcare</cp:lastModifiedBy>
  <dcterms:created xsi:type="dcterms:W3CDTF">2025-01-27T03:30:57Z</dcterms:created>
  <dcterms:modified xsi:type="dcterms:W3CDTF">2026-05-22T16:35:13Z</dcterms:modified>
</cp:coreProperties>
</file>